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7475821bd911288/デスクトップ/論文用データ/★CBDL_CBD_ISH/"/>
    </mc:Choice>
  </mc:AlternateContent>
  <xr:revisionPtr revIDLastSave="378" documentId="11_AD4D066CA252ABDACC10488F29D3D93673EEDF52" xr6:coauthVersionLast="47" xr6:coauthVersionMax="47" xr10:uidLastSave="{EFD240FF-B6CB-4EFE-87AD-E784BCB32644}"/>
  <bookViews>
    <workbookView xWindow="1785" yWindow="2850" windowWidth="22155" windowHeight="17280" xr2:uid="{00000000-000D-0000-FFFF-FFFF00000000}"/>
  </bookViews>
  <sheets>
    <sheet name="Sheet1" sheetId="1" r:id="rId1"/>
    <sheet name="Sheet2" sheetId="2" r:id="rId2"/>
    <sheet name="biliary" sheetId="3" r:id="rId3"/>
    <sheet name="stromal" sheetId="5" r:id="rId4"/>
  </sheets>
  <definedNames>
    <definedName name="_xlnm._FilterDatabase" localSheetId="0" hidden="1">Sheet1!$A$1:$P$63</definedName>
    <definedName name="_xlnm._FilterDatabase" localSheetId="1" hidden="1">Sheet2!$A$1:$S$1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I2" i="2"/>
  <c r="G3" i="2"/>
  <c r="G2" i="2"/>
  <c r="F3" i="2"/>
  <c r="F2" i="2"/>
  <c r="I7" i="2"/>
  <c r="I6" i="2"/>
  <c r="I5" i="2"/>
  <c r="I4" i="2"/>
  <c r="I3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6" i="2"/>
  <c r="F47" i="2"/>
  <c r="F48" i="2"/>
  <c r="F49" i="2"/>
  <c r="F50" i="2"/>
  <c r="F51" i="2"/>
  <c r="F52" i="2"/>
  <c r="F54" i="2"/>
  <c r="F55" i="2"/>
  <c r="F56" i="2"/>
  <c r="F57" i="2"/>
  <c r="F58" i="2"/>
  <c r="F59" i="2"/>
  <c r="F60" i="2"/>
  <c r="F61" i="2"/>
  <c r="F62" i="2"/>
  <c r="F63" i="2"/>
  <c r="F64" i="2"/>
  <c r="E3" i="1"/>
  <c r="F3" i="1" s="1"/>
  <c r="E4" i="1"/>
  <c r="F4" i="1" s="1"/>
  <c r="E5" i="1"/>
  <c r="F5" i="1" s="1"/>
  <c r="E6" i="1"/>
  <c r="F6" i="1" s="1"/>
  <c r="E7" i="1"/>
  <c r="F7" i="1" s="1"/>
  <c r="J7" i="1" s="1"/>
  <c r="E8" i="1"/>
  <c r="F8" i="1" s="1"/>
  <c r="J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J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J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J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J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J63" i="1" s="1"/>
  <c r="E2" i="1"/>
  <c r="F2" i="1" s="1"/>
  <c r="J54" i="1" l="1"/>
  <c r="J22" i="1"/>
  <c r="J38" i="1"/>
  <c r="J26" i="1"/>
  <c r="J10" i="1"/>
  <c r="J57" i="1"/>
  <c r="J41" i="1"/>
  <c r="J62" i="1"/>
  <c r="J21" i="1"/>
  <c r="J14" i="1"/>
  <c r="J46" i="1"/>
  <c r="J33" i="1"/>
  <c r="J25" i="1"/>
  <c r="J6" i="1"/>
  <c r="J49" i="1"/>
  <c r="J47" i="1"/>
  <c r="J34" i="1"/>
  <c r="J13" i="1"/>
  <c r="J58" i="1"/>
  <c r="J24" i="1"/>
  <c r="J5" i="1"/>
  <c r="J30" i="1"/>
  <c r="J16" i="1"/>
  <c r="J9" i="1"/>
  <c r="J31" i="1"/>
  <c r="J17" i="1"/>
  <c r="J4" i="1"/>
  <c r="J50" i="1"/>
  <c r="J42" i="1"/>
  <c r="J56" i="1"/>
  <c r="J48" i="1"/>
  <c r="J40" i="1"/>
  <c r="J32" i="1"/>
  <c r="J18" i="1"/>
  <c r="J61" i="1"/>
  <c r="J53" i="1"/>
  <c r="J45" i="1"/>
  <c r="J37" i="1"/>
  <c r="J60" i="1"/>
  <c r="J52" i="1"/>
  <c r="J44" i="1"/>
  <c r="J36" i="1"/>
  <c r="J28" i="1"/>
  <c r="J20" i="1"/>
  <c r="J12" i="1"/>
  <c r="J59" i="1"/>
  <c r="J51" i="1"/>
  <c r="J43" i="1"/>
  <c r="J35" i="1"/>
  <c r="J27" i="1"/>
  <c r="J19" i="1"/>
  <c r="J11" i="1"/>
  <c r="J29" i="1"/>
  <c r="J3" i="1"/>
  <c r="J2" i="1"/>
</calcChain>
</file>

<file path=xl/sharedStrings.xml><?xml version="1.0" encoding="utf-8"?>
<sst xmlns="http://schemas.openxmlformats.org/spreadsheetml/2006/main" count="513" uniqueCount="143">
  <si>
    <t>平均dot面積</t>
    <rPh sb="0" eb="2">
      <t>ヘイキン</t>
    </rPh>
    <rPh sb="5" eb="7">
      <t>メンセキ</t>
    </rPh>
    <phoneticPr fontId="1"/>
  </si>
  <si>
    <t>CBDL_03_Thy1_stromal_05.tif</t>
  </si>
  <si>
    <t>CBDL_01_Islr_biliary.tif</t>
  </si>
  <si>
    <t>CBDL_01_Islr_biliary_01.tif</t>
  </si>
  <si>
    <t>CBDL_01_Islr_biliary_02.tif</t>
  </si>
  <si>
    <t>CBDL_01_Islr_biliary_03.tif</t>
  </si>
  <si>
    <t>CBDL_01_Islr_biliary_04.tif</t>
  </si>
  <si>
    <t>CBDL_01_Islr_biliary_05.tif</t>
  </si>
  <si>
    <t>CBDL_01_Islr_stromal.tif</t>
  </si>
  <si>
    <t>CBDL_01_Islr_stromal_01.tif</t>
  </si>
  <si>
    <t>CBDL_01_Islr_stromal_02.tif</t>
  </si>
  <si>
    <t>CBDL_01_Islr_stromal_03.tif</t>
  </si>
  <si>
    <t>CBDL_01_Islr_stromal_04.tif</t>
  </si>
  <si>
    <t>CBDL_01_Thy1_biliary_01.tif</t>
  </si>
  <si>
    <t>CBDL_01_Thy1_biliary_02.tif</t>
  </si>
  <si>
    <t>CBDL_01_Thy1_biliary_03.tif</t>
  </si>
  <si>
    <t>CBDL_01_Thy1_biliary_04.tif</t>
  </si>
  <si>
    <t>CBDL_01_Thy1_biliary_05.tif</t>
  </si>
  <si>
    <t>CBDL_01_Thy1_stromal_01.tif</t>
  </si>
  <si>
    <t>CBDL_01_Thy1_stromal_02.tif</t>
  </si>
  <si>
    <t>CBDL_01_Thy1_stromal_03.tif</t>
  </si>
  <si>
    <t>CBDL_01_Thy1_stromal_04.tif</t>
  </si>
  <si>
    <t>CBDL_01_Thy1_stromal_05.tif</t>
  </si>
  <si>
    <t>CBDL_02_Islr_biliary.tif</t>
  </si>
  <si>
    <t>CBDL_02_Islr_biliary_01.tif</t>
  </si>
  <si>
    <t>CBDL_02_Islr_biliary_02.tif</t>
  </si>
  <si>
    <t>CBDL_02_Islr_biliary_03.tif</t>
  </si>
  <si>
    <t>CBDL_02_Islr_biliary_04.tif</t>
  </si>
  <si>
    <t>CBDL_02_Islr_stromal_01.tif</t>
  </si>
  <si>
    <t>CBDL_02_Islr_stromal_02.tif</t>
  </si>
  <si>
    <t>CBDL_02_Islr_stromal_03.tif</t>
  </si>
  <si>
    <t>CBDL_02_Islr_stromal_04.tif</t>
  </si>
  <si>
    <t>CBDL_02_Islr_stromal_05.tif</t>
  </si>
  <si>
    <t>CBDL_02_Thy1_biliary_01.tif</t>
  </si>
  <si>
    <t>CBDL_02_Thy1_biliary_02.tif</t>
  </si>
  <si>
    <t>CBDL_02_Thy1_biliary_03.tif</t>
  </si>
  <si>
    <t>CBDL_02_Thy1_biliary_04.tif</t>
  </si>
  <si>
    <t>CBDL_02_Thy1_biliary_05.tif</t>
  </si>
  <si>
    <t>CBDL_02_Thy1_stromal_01.tif</t>
  </si>
  <si>
    <t>CBDL_02_Thy1_stromal_02.tif</t>
  </si>
  <si>
    <t>CBDL_02_Thy1_stromal_03.tif</t>
  </si>
  <si>
    <t>CBDL_02_Thy1_stromal_04.tif</t>
  </si>
  <si>
    <t>CBDL_02_Thy1_stromal_05.tif</t>
  </si>
  <si>
    <t>CBDL_03_Islr_biliary_01.tif</t>
  </si>
  <si>
    <t>CBDL_03_Islr_biliary_02.tif</t>
  </si>
  <si>
    <t>CBDL_03_Islr_biliary_03.tif</t>
  </si>
  <si>
    <t>CBDL_03_Islr_biliary_04.tif</t>
  </si>
  <si>
    <t>CBDL_03_Islr_biliary_05.tif</t>
  </si>
  <si>
    <t>CBDL_03_Islr_biliary_06.tif</t>
  </si>
  <si>
    <t>CBDL_03_Islr_stromal_01.tif</t>
  </si>
  <si>
    <t>CBDL_03_Islr_stromal_02.tif</t>
  </si>
  <si>
    <t>CBDL_03_Islr_stromal_03.tif</t>
  </si>
  <si>
    <t>CBDL_03_Islr_stromal_04.tif</t>
  </si>
  <si>
    <t>CBDL_03_Islr_stromal_05.tif</t>
  </si>
  <si>
    <t>CBDL_03_Thy1_biliary_01.tif</t>
  </si>
  <si>
    <t>CBDL_03_Thy1_biliary_02.tif</t>
  </si>
  <si>
    <t>CBDL_03_Thy1_biliary_03.tif</t>
  </si>
  <si>
    <t>CBDL_03_Thy1_biliary_04.tif</t>
  </si>
  <si>
    <t>CBDL_03_Thy1_biliary_05.tif</t>
  </si>
  <si>
    <t>CBDL_03_Thy1_stromal_01.tif</t>
  </si>
  <si>
    <t>CBDL_03_Thy1_stromal_02.tif</t>
  </si>
  <si>
    <t>CBDL_03_Thy1_stromal_03.tif</t>
  </si>
  <si>
    <t>CBDL_03_Thy1_stromal_04.tif</t>
  </si>
  <si>
    <t>遺伝子</t>
    <rPh sb="0" eb="3">
      <t>イデンシ</t>
    </rPh>
    <phoneticPr fontId="1"/>
  </si>
  <si>
    <t>Islr</t>
    <phoneticPr fontId="1"/>
  </si>
  <si>
    <t>biliary</t>
    <phoneticPr fontId="1"/>
  </si>
  <si>
    <t>Thy1</t>
    <phoneticPr fontId="1"/>
  </si>
  <si>
    <t>stromal</t>
    <phoneticPr fontId="1"/>
  </si>
  <si>
    <t>DAB+area</t>
    <phoneticPr fontId="1"/>
  </si>
  <si>
    <t>area</t>
    <phoneticPr fontId="1"/>
  </si>
  <si>
    <t>Islr_biliary_02.tif</t>
  </si>
  <si>
    <t>Islr_biliary_03.tif</t>
  </si>
  <si>
    <t>Islr_biliary_04.tif</t>
  </si>
  <si>
    <t>Islr_biliary_05.tif</t>
  </si>
  <si>
    <t>Islr_biliary_06.tif</t>
  </si>
  <si>
    <t>Islr_biliary_07.tif</t>
  </si>
  <si>
    <t>Islr_biliary_08.tif</t>
  </si>
  <si>
    <t>Islr_biliary_09.tif</t>
  </si>
  <si>
    <t>Islr_biliary_10.tif</t>
  </si>
  <si>
    <t>Islr_biliary_11.tif</t>
  </si>
  <si>
    <t>Islr_biliary_12.tif</t>
  </si>
  <si>
    <t>Islr_biliary_13.tif</t>
  </si>
  <si>
    <t>Islr_biliary_14.tif</t>
  </si>
  <si>
    <t>Islr_biliary_15.tif</t>
  </si>
  <si>
    <t>Islr_biliary_16.tif</t>
  </si>
  <si>
    <t>Islr_biliary_17.tif</t>
  </si>
  <si>
    <t>Islr_biliary_18.tif</t>
  </si>
  <si>
    <t>Islr_biliary_19.tif</t>
  </si>
  <si>
    <t>Islr_biliary_20.tif</t>
  </si>
  <si>
    <t>Islr_biliary_21.tif</t>
  </si>
  <si>
    <t>Islr_stromal_02.tif</t>
  </si>
  <si>
    <t>Islr_stromal_03.tif</t>
  </si>
  <si>
    <t>Islr_stromal_04.tif</t>
  </si>
  <si>
    <t>Islr_stromal_05.tif</t>
  </si>
  <si>
    <t>Islr_stromal_06.tif</t>
  </si>
  <si>
    <t>Islr_stromal_07.tif</t>
  </si>
  <si>
    <t>Islr_stromal_08.tif</t>
  </si>
  <si>
    <t>Islr_stromal_09.tif</t>
  </si>
  <si>
    <t>Islr_stromal_10.tif</t>
  </si>
  <si>
    <t>Islr_stromal_11.tif</t>
  </si>
  <si>
    <t>Islr_stromal_12.tif</t>
  </si>
  <si>
    <t>Islr_stromal_13.tif</t>
  </si>
  <si>
    <t>Islr_stromal_14.tif</t>
  </si>
  <si>
    <t>Islr_stromal_15.tif</t>
  </si>
  <si>
    <t>Islr_stromal_16.tif</t>
  </si>
  <si>
    <t>Islr_stromal_17.tif</t>
  </si>
  <si>
    <t>Islr_stromal_18.tif</t>
  </si>
  <si>
    <t>Islr_stromal_19.tif</t>
  </si>
  <si>
    <t>Islr_stromal_20.tif</t>
  </si>
  <si>
    <t>Islr_stromal_21.tif</t>
  </si>
  <si>
    <t>Islr_stromal_22.tif</t>
  </si>
  <si>
    <t>Thy1_biliary_01.tif</t>
  </si>
  <si>
    <t>Thy1_biliary_02.tif</t>
  </si>
  <si>
    <t>Thy1_biliary_03.tif</t>
  </si>
  <si>
    <t>Thy1_biliary_04.tif</t>
  </si>
  <si>
    <t>Thy1_biliary_05.tif</t>
  </si>
  <si>
    <t>Thy1_biliary_06.tif</t>
  </si>
  <si>
    <t>Thy1_biliary_07.tif</t>
  </si>
  <si>
    <t>Thy1_biliary_08.tif</t>
  </si>
  <si>
    <t>Thy1_biliary_09.tif</t>
  </si>
  <si>
    <t>Thy1_biliary_10.tif</t>
  </si>
  <si>
    <t>Thy1_biliary_11.tif</t>
  </si>
  <si>
    <t>Thy1_biliary_12.tif</t>
  </si>
  <si>
    <t>Thy1_stromal_01.tif</t>
  </si>
  <si>
    <t>Thy1_stromal_02.tif</t>
  </si>
  <si>
    <t>Thy1_stromal_03.tif</t>
  </si>
  <si>
    <t>Thy1_stromal_04.tif</t>
  </si>
  <si>
    <t>Thy1_stromal_05.tif</t>
  </si>
  <si>
    <t>Thy1_stromal_06.tif</t>
  </si>
  <si>
    <t>Thy1_stromal_07.tif</t>
  </si>
  <si>
    <t>Thy1_stromal_08.tif</t>
  </si>
  <si>
    <t>area</t>
  </si>
  <si>
    <t>Islr_biliary_01.tif</t>
    <phoneticPr fontId="1"/>
  </si>
  <si>
    <t>Islr_stromal_01.tif</t>
    <phoneticPr fontId="1"/>
  </si>
  <si>
    <t>dot</t>
    <phoneticPr fontId="1"/>
  </si>
  <si>
    <t>測定面積</t>
    <rPh sb="0" eb="2">
      <t>ソクテイ</t>
    </rPh>
    <rPh sb="2" eb="4">
      <t>メンセキ</t>
    </rPh>
    <phoneticPr fontId="1"/>
  </si>
  <si>
    <t>CBDL</t>
    <phoneticPr fontId="1"/>
  </si>
  <si>
    <t>ISLR</t>
    <phoneticPr fontId="1"/>
  </si>
  <si>
    <t>normal</t>
    <phoneticPr fontId="1"/>
  </si>
  <si>
    <t>dot</t>
    <phoneticPr fontId="1"/>
  </si>
  <si>
    <t>Pnsitive cell</t>
    <phoneticPr fontId="1"/>
  </si>
  <si>
    <t>positivecell</t>
    <phoneticPr fontId="1"/>
  </si>
  <si>
    <t>目視陽性細胞</t>
    <rPh sb="0" eb="2">
      <t>モクシ</t>
    </rPh>
    <rPh sb="2" eb="6">
      <t>ヨウセイサイボウ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</si>
</sst>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12</xdr:row>
      <xdr:rowOff>133350</xdr:rowOff>
    </xdr:from>
    <xdr:to>
      <xdr:col>14</xdr:col>
      <xdr:colOff>609600</xdr:colOff>
      <xdr:row>27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6E0BD45-1FDC-651B-5D51-7F2DC70BFAAE}"/>
            </a:ext>
          </a:extLst>
        </xdr:cNvPr>
        <xdr:cNvSpPr txBox="1"/>
      </xdr:nvSpPr>
      <xdr:spPr>
        <a:xfrm>
          <a:off x="4581525" y="2990850"/>
          <a:ext cx="5629275" cy="354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ISLR</a:t>
          </a:r>
        </a:p>
        <a:p>
          <a:r>
            <a:rPr kumimoji="1" lang="ja-JP" altLang="en-US" sz="1100"/>
            <a:t>最小 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 </a:t>
          </a:r>
          <a:r>
            <a:rPr kumimoji="1" lang="en-US" altLang="ja-JP" sz="1100"/>
            <a:t>75%      </a:t>
          </a:r>
          <a:r>
            <a:rPr kumimoji="1" lang="ja-JP" altLang="en-US" sz="1100"/>
            <a:t>最大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V1=CBDL   288.895349 451.39535  746.16279 889.76744 1320.5523 NaN</a:t>
          </a:r>
        </a:p>
        <a:p>
          <a:r>
            <a:rPr kumimoji="1" lang="en-US" altLang="ja-JP" sz="1100"/>
            <a:t>V1=normal   6.140285  16.31075   32.33386  88.52621  127.4293    </a:t>
          </a:r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Thy1</a:t>
          </a:r>
        </a:p>
        <a:p>
          <a:r>
            <a:rPr kumimoji="1" lang="ja-JP" altLang="en-US" sz="1100"/>
            <a:t>最小 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 </a:t>
          </a:r>
          <a:r>
            <a:rPr kumimoji="1" lang="en-US" altLang="ja-JP" sz="1100"/>
            <a:t>75%      </a:t>
          </a:r>
          <a:r>
            <a:rPr kumimoji="1" lang="ja-JP" altLang="en-US" sz="1100"/>
            <a:t>最大 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V1=CBDL   516.6860 1369.9709  3151.5407 5690.0291 8112.1802 2.51e-13</a:t>
          </a:r>
        </a:p>
        <a:p>
          <a:r>
            <a:rPr kumimoji="1" lang="en-US" altLang="ja-JP" sz="1100"/>
            <a:t>V1=normal 198.3754  248.5802   341.2552  349.2182  778.9805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15</xdr:row>
      <xdr:rowOff>28575</xdr:rowOff>
    </xdr:from>
    <xdr:to>
      <xdr:col>16</xdr:col>
      <xdr:colOff>180975</xdr:colOff>
      <xdr:row>30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20BC3F7-3B2A-48CC-9871-F5CD60055738}"/>
            </a:ext>
          </a:extLst>
        </xdr:cNvPr>
        <xdr:cNvSpPr txBox="1"/>
      </xdr:nvSpPr>
      <xdr:spPr>
        <a:xfrm>
          <a:off x="5524500" y="3600450"/>
          <a:ext cx="5629275" cy="354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ISLR</a:t>
          </a: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 </a:t>
          </a:r>
          <a:r>
            <a:rPr kumimoji="1" lang="en-US" altLang="ja-JP" sz="1100"/>
            <a:t>75%      </a:t>
          </a:r>
          <a:r>
            <a:rPr kumimoji="1" lang="ja-JP" altLang="en-US" sz="1100"/>
            <a:t>最大 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V1=CBDL   109.186 294.3169   428.2849 652.4855 1150.6686 5.53e-12</a:t>
          </a:r>
        </a:p>
        <a:p>
          <a:r>
            <a:rPr kumimoji="1" lang="en-US" altLang="ja-JP" sz="1100"/>
            <a:t>V1=normal  35.000  70.0000    90.0000 135.0000  390.9844</a:t>
          </a:r>
        </a:p>
        <a:p>
          <a:endParaRPr kumimoji="1" lang="en-US" altLang="ja-JP" sz="1100"/>
        </a:p>
        <a:p>
          <a:r>
            <a:rPr kumimoji="1" lang="en-US" altLang="ja-JP" sz="1100"/>
            <a:t>Thy1</a:t>
          </a:r>
        </a:p>
        <a:p>
          <a:r>
            <a:rPr kumimoji="1" lang="ja-JP" altLang="en-US" sz="1100"/>
            <a:t>最小      </a:t>
          </a:r>
          <a:r>
            <a:rPr kumimoji="1" lang="en-US" altLang="ja-JP" sz="1100"/>
            <a:t>25% </a:t>
          </a:r>
          <a:r>
            <a:rPr kumimoji="1" lang="ja-JP" altLang="en-US" sz="1100"/>
            <a:t>メディアン     </a:t>
          </a:r>
          <a:r>
            <a:rPr kumimoji="1" lang="en-US" altLang="ja-JP" sz="1100"/>
            <a:t>75%     </a:t>
          </a:r>
          <a:r>
            <a:rPr kumimoji="1" lang="ja-JP" altLang="en-US" sz="1100"/>
            <a:t>最大  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V1=CBDL   43.57558 105.7703   210.5814 690.218 1861.017 0.0000111</a:t>
          </a:r>
        </a:p>
        <a:p>
          <a:r>
            <a:rPr kumimoji="1" lang="en-US" altLang="ja-JP" sz="1100"/>
            <a:t>V1=normal  0.00000  20.0000    64.0000  70.000  125.000 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zoomScaleNormal="100" workbookViewId="0">
      <selection activeCell="B1" sqref="B1"/>
    </sheetView>
  </sheetViews>
  <sheetFormatPr defaultRowHeight="18.75"/>
  <cols>
    <col min="1" max="1" width="29.125" bestFit="1" customWidth="1"/>
  </cols>
  <sheetData>
    <row r="1" spans="1:16">
      <c r="B1" t="s">
        <v>63</v>
      </c>
      <c r="C1" t="s">
        <v>69</v>
      </c>
      <c r="D1" t="s">
        <v>68</v>
      </c>
      <c r="E1" t="s">
        <v>139</v>
      </c>
      <c r="F1" t="s">
        <v>141</v>
      </c>
      <c r="K1" t="s">
        <v>142</v>
      </c>
      <c r="O1" t="s">
        <v>0</v>
      </c>
      <c r="P1">
        <v>34.4</v>
      </c>
    </row>
    <row r="2" spans="1:16">
      <c r="A2" t="s">
        <v>2</v>
      </c>
      <c r="B2" t="s">
        <v>64</v>
      </c>
      <c r="C2" t="s">
        <v>65</v>
      </c>
      <c r="D2">
        <v>25725</v>
      </c>
      <c r="E2">
        <f>D2/34.4</f>
        <v>747.81976744186045</v>
      </c>
      <c r="F2">
        <f>ROUNDUP(E2/15,0)</f>
        <v>50</v>
      </c>
      <c r="G2">
        <v>35.034999999999997</v>
      </c>
      <c r="H2">
        <v>7.0000000000000007E-2</v>
      </c>
      <c r="I2">
        <f>G2/H2</f>
        <v>500.49999999999989</v>
      </c>
      <c r="J2">
        <f>F2/I2%</f>
        <v>9.9900099900099928</v>
      </c>
      <c r="K2">
        <v>148</v>
      </c>
    </row>
    <row r="3" spans="1:16">
      <c r="A3" t="s">
        <v>3</v>
      </c>
      <c r="B3" t="s">
        <v>64</v>
      </c>
      <c r="C3" t="s">
        <v>65</v>
      </c>
      <c r="D3">
        <v>18400</v>
      </c>
      <c r="E3">
        <f t="shared" ref="E3:E63" si="0">D3/34.4</f>
        <v>534.88372093023258</v>
      </c>
      <c r="F3">
        <f t="shared" ref="F3:F63" si="1">ROUNDUP(E3/15,0)</f>
        <v>36</v>
      </c>
      <c r="G3">
        <v>24.318000000000001</v>
      </c>
      <c r="H3">
        <v>7.0000000000000007E-2</v>
      </c>
      <c r="I3">
        <f t="shared" ref="I3:I63" si="2">G3/H3</f>
        <v>347.4</v>
      </c>
      <c r="J3">
        <f t="shared" ref="J3:J63" si="3">F3/I3%</f>
        <v>10.362694300518136</v>
      </c>
    </row>
    <row r="4" spans="1:16">
      <c r="A4" t="s">
        <v>4</v>
      </c>
      <c r="B4" t="s">
        <v>64</v>
      </c>
      <c r="C4" t="s">
        <v>65</v>
      </c>
      <c r="D4">
        <v>9938</v>
      </c>
      <c r="E4">
        <f t="shared" si="0"/>
        <v>288.89534883720933</v>
      </c>
      <c r="F4">
        <f t="shared" si="1"/>
        <v>20</v>
      </c>
      <c r="G4">
        <v>26.477</v>
      </c>
      <c r="H4">
        <v>7.0000000000000007E-2</v>
      </c>
      <c r="I4">
        <f t="shared" si="2"/>
        <v>378.24285714285713</v>
      </c>
      <c r="J4">
        <f t="shared" si="3"/>
        <v>5.2876081127015899</v>
      </c>
    </row>
    <row r="5" spans="1:16">
      <c r="A5" t="s">
        <v>5</v>
      </c>
      <c r="B5" t="s">
        <v>64</v>
      </c>
      <c r="C5" t="s">
        <v>65</v>
      </c>
      <c r="D5">
        <v>26986</v>
      </c>
      <c r="E5">
        <f t="shared" si="0"/>
        <v>784.47674418604652</v>
      </c>
      <c r="F5">
        <f t="shared" si="1"/>
        <v>53</v>
      </c>
      <c r="G5">
        <v>45.44</v>
      </c>
      <c r="H5">
        <v>7.0000000000000007E-2</v>
      </c>
      <c r="I5">
        <f t="shared" si="2"/>
        <v>649.142857142857</v>
      </c>
      <c r="J5">
        <f t="shared" si="3"/>
        <v>8.1646126760563398</v>
      </c>
    </row>
    <row r="6" spans="1:16">
      <c r="A6" t="s">
        <v>6</v>
      </c>
      <c r="B6" t="s">
        <v>64</v>
      </c>
      <c r="C6" t="s">
        <v>65</v>
      </c>
      <c r="D6">
        <v>31202</v>
      </c>
      <c r="E6">
        <f t="shared" si="0"/>
        <v>907.03488372093022</v>
      </c>
      <c r="F6">
        <f t="shared" si="1"/>
        <v>61</v>
      </c>
      <c r="G6">
        <v>56.152000000000001</v>
      </c>
      <c r="H6">
        <v>7.0000000000000007E-2</v>
      </c>
      <c r="I6">
        <f t="shared" si="2"/>
        <v>802.17142857142846</v>
      </c>
      <c r="J6">
        <f t="shared" si="3"/>
        <v>7.6043595953839578</v>
      </c>
    </row>
    <row r="7" spans="1:16">
      <c r="A7" t="s">
        <v>7</v>
      </c>
      <c r="B7" t="s">
        <v>64</v>
      </c>
      <c r="C7" t="s">
        <v>65</v>
      </c>
      <c r="D7">
        <v>15528</v>
      </c>
      <c r="E7">
        <f t="shared" si="0"/>
        <v>451.39534883720933</v>
      </c>
      <c r="F7">
        <f t="shared" si="1"/>
        <v>31</v>
      </c>
      <c r="G7">
        <v>35.174999999999997</v>
      </c>
      <c r="H7">
        <v>7.0000000000000007E-2</v>
      </c>
      <c r="I7">
        <f t="shared" si="2"/>
        <v>502.49999999999989</v>
      </c>
      <c r="J7">
        <f t="shared" si="3"/>
        <v>6.1691542288557235</v>
      </c>
    </row>
    <row r="8" spans="1:16">
      <c r="A8" t="s">
        <v>8</v>
      </c>
      <c r="B8" t="s">
        <v>64</v>
      </c>
      <c r="C8" t="s">
        <v>67</v>
      </c>
      <c r="D8">
        <v>18611</v>
      </c>
      <c r="E8">
        <f t="shared" si="0"/>
        <v>541.01744186046517</v>
      </c>
      <c r="F8">
        <f t="shared" si="1"/>
        <v>37</v>
      </c>
      <c r="G8">
        <v>37.140999999999998</v>
      </c>
      <c r="H8">
        <v>7.0000000000000007E-2</v>
      </c>
      <c r="I8">
        <f t="shared" si="2"/>
        <v>530.58571428571418</v>
      </c>
      <c r="J8">
        <f t="shared" si="3"/>
        <v>6.9734255943566428</v>
      </c>
    </row>
    <row r="9" spans="1:16">
      <c r="A9" t="s">
        <v>9</v>
      </c>
      <c r="B9" t="s">
        <v>64</v>
      </c>
      <c r="C9" t="s">
        <v>67</v>
      </c>
      <c r="D9">
        <v>6645</v>
      </c>
      <c r="E9">
        <f t="shared" si="0"/>
        <v>193.16860465116281</v>
      </c>
      <c r="F9">
        <f t="shared" si="1"/>
        <v>13</v>
      </c>
      <c r="G9">
        <v>32.286999999999999</v>
      </c>
      <c r="H9">
        <v>7.0000000000000007E-2</v>
      </c>
      <c r="I9">
        <f t="shared" si="2"/>
        <v>461.24285714285708</v>
      </c>
      <c r="J9">
        <f t="shared" si="3"/>
        <v>2.8184718307678018</v>
      </c>
    </row>
    <row r="10" spans="1:16">
      <c r="A10" t="s">
        <v>10</v>
      </c>
      <c r="B10" t="s">
        <v>64</v>
      </c>
      <c r="C10" t="s">
        <v>67</v>
      </c>
      <c r="D10">
        <v>4767</v>
      </c>
      <c r="E10">
        <f t="shared" si="0"/>
        <v>138.57558139534885</v>
      </c>
      <c r="F10">
        <f t="shared" si="1"/>
        <v>10</v>
      </c>
      <c r="G10">
        <v>13.561999999999999</v>
      </c>
      <c r="H10">
        <v>7.0000000000000007E-2</v>
      </c>
      <c r="I10">
        <f t="shared" si="2"/>
        <v>193.7428571428571</v>
      </c>
      <c r="J10">
        <f t="shared" si="3"/>
        <v>5.1614806075800042</v>
      </c>
    </row>
    <row r="11" spans="1:16">
      <c r="A11" t="s">
        <v>11</v>
      </c>
      <c r="B11" t="s">
        <v>64</v>
      </c>
      <c r="C11" t="s">
        <v>67</v>
      </c>
      <c r="D11">
        <v>12414</v>
      </c>
      <c r="E11">
        <f t="shared" si="0"/>
        <v>360.87209302325584</v>
      </c>
      <c r="F11">
        <f t="shared" si="1"/>
        <v>25</v>
      </c>
      <c r="G11">
        <v>19.271000000000001</v>
      </c>
      <c r="H11">
        <v>7.0000000000000007E-2</v>
      </c>
      <c r="I11">
        <f t="shared" si="2"/>
        <v>275.3</v>
      </c>
      <c r="J11">
        <f t="shared" si="3"/>
        <v>9.0810025426807108</v>
      </c>
    </row>
    <row r="12" spans="1:16">
      <c r="A12" t="s">
        <v>12</v>
      </c>
      <c r="B12" t="s">
        <v>64</v>
      </c>
      <c r="C12" t="s">
        <v>67</v>
      </c>
      <c r="D12">
        <v>8694</v>
      </c>
      <c r="E12">
        <f t="shared" si="0"/>
        <v>252.73255813953489</v>
      </c>
      <c r="F12">
        <f t="shared" si="1"/>
        <v>17</v>
      </c>
      <c r="G12">
        <v>37.695999999999998</v>
      </c>
      <c r="H12">
        <v>7.0000000000000007E-2</v>
      </c>
      <c r="I12">
        <f t="shared" si="2"/>
        <v>538.51428571428562</v>
      </c>
      <c r="J12">
        <f t="shared" si="3"/>
        <v>3.1568336162988122</v>
      </c>
    </row>
    <row r="13" spans="1:16">
      <c r="A13" t="s">
        <v>13</v>
      </c>
      <c r="B13" t="s">
        <v>66</v>
      </c>
      <c r="C13" t="s">
        <v>65</v>
      </c>
      <c r="D13">
        <v>249662</v>
      </c>
      <c r="E13">
        <f t="shared" si="0"/>
        <v>7257.6162790697681</v>
      </c>
      <c r="F13">
        <f t="shared" si="1"/>
        <v>484</v>
      </c>
      <c r="G13">
        <v>23.527999999999999</v>
      </c>
      <c r="H13">
        <v>7.0000000000000007E-2</v>
      </c>
      <c r="I13">
        <f t="shared" si="2"/>
        <v>336.11428571428564</v>
      </c>
      <c r="J13">
        <f t="shared" si="3"/>
        <v>143.99863991839513</v>
      </c>
    </row>
    <row r="14" spans="1:16">
      <c r="A14" t="s">
        <v>14</v>
      </c>
      <c r="B14" t="s">
        <v>66</v>
      </c>
      <c r="C14" t="s">
        <v>65</v>
      </c>
      <c r="D14">
        <v>167643</v>
      </c>
      <c r="E14">
        <f t="shared" si="0"/>
        <v>4873.3430232558139</v>
      </c>
      <c r="F14">
        <f t="shared" si="1"/>
        <v>325</v>
      </c>
      <c r="G14">
        <v>19.353999999999999</v>
      </c>
      <c r="H14">
        <v>7.0000000000000007E-2</v>
      </c>
      <c r="I14">
        <f t="shared" si="2"/>
        <v>276.48571428571427</v>
      </c>
      <c r="J14">
        <f t="shared" si="3"/>
        <v>117.54676035961559</v>
      </c>
    </row>
    <row r="15" spans="1:16">
      <c r="A15" t="s">
        <v>15</v>
      </c>
      <c r="B15" t="s">
        <v>66</v>
      </c>
      <c r="C15" t="s">
        <v>65</v>
      </c>
      <c r="D15">
        <v>108413</v>
      </c>
      <c r="E15">
        <f t="shared" si="0"/>
        <v>3151.5406976744189</v>
      </c>
      <c r="F15">
        <f t="shared" si="1"/>
        <v>211</v>
      </c>
      <c r="G15">
        <v>21.431999999999999</v>
      </c>
      <c r="H15">
        <v>7.0000000000000007E-2</v>
      </c>
      <c r="I15">
        <f t="shared" si="2"/>
        <v>306.17142857142852</v>
      </c>
      <c r="J15">
        <f t="shared" si="3"/>
        <v>68.915640164240401</v>
      </c>
    </row>
    <row r="16" spans="1:16">
      <c r="A16" t="s">
        <v>16</v>
      </c>
      <c r="B16" t="s">
        <v>66</v>
      </c>
      <c r="C16" t="s">
        <v>65</v>
      </c>
      <c r="D16">
        <v>99843</v>
      </c>
      <c r="E16">
        <f t="shared" si="0"/>
        <v>2902.4127906976746</v>
      </c>
      <c r="F16">
        <f t="shared" si="1"/>
        <v>194</v>
      </c>
      <c r="G16">
        <v>30.815000000000001</v>
      </c>
      <c r="H16">
        <v>7.0000000000000007E-2</v>
      </c>
      <c r="I16">
        <f t="shared" si="2"/>
        <v>440.21428571428567</v>
      </c>
      <c r="J16">
        <f t="shared" si="3"/>
        <v>44.069446698036678</v>
      </c>
    </row>
    <row r="17" spans="1:10">
      <c r="A17" t="s">
        <v>17</v>
      </c>
      <c r="B17" t="s">
        <v>66</v>
      </c>
      <c r="C17" t="s">
        <v>65</v>
      </c>
      <c r="D17">
        <v>92326</v>
      </c>
      <c r="E17">
        <f t="shared" si="0"/>
        <v>2683.8953488372094</v>
      </c>
      <c r="F17">
        <f t="shared" si="1"/>
        <v>179</v>
      </c>
      <c r="G17">
        <v>24.942</v>
      </c>
      <c r="H17">
        <v>7.0000000000000007E-2</v>
      </c>
      <c r="I17">
        <f t="shared" si="2"/>
        <v>356.31428571428569</v>
      </c>
      <c r="J17">
        <f t="shared" si="3"/>
        <v>50.236548793200228</v>
      </c>
    </row>
    <row r="18" spans="1:10">
      <c r="A18" t="s">
        <v>18</v>
      </c>
      <c r="B18" t="s">
        <v>66</v>
      </c>
      <c r="C18" t="s">
        <v>67</v>
      </c>
      <c r="D18">
        <v>12018</v>
      </c>
      <c r="E18">
        <f t="shared" si="0"/>
        <v>349.3604651162791</v>
      </c>
      <c r="F18">
        <f t="shared" si="1"/>
        <v>24</v>
      </c>
      <c r="G18">
        <v>33.588000000000001</v>
      </c>
      <c r="H18">
        <v>7.0000000000000007E-2</v>
      </c>
      <c r="I18">
        <f t="shared" si="2"/>
        <v>479.82857142857142</v>
      </c>
      <c r="J18">
        <f t="shared" si="3"/>
        <v>5.0017863522686676</v>
      </c>
    </row>
    <row r="19" spans="1:10">
      <c r="A19" t="s">
        <v>19</v>
      </c>
      <c r="B19" t="s">
        <v>66</v>
      </c>
      <c r="C19" t="s">
        <v>67</v>
      </c>
      <c r="D19">
        <v>4465</v>
      </c>
      <c r="E19">
        <f t="shared" si="0"/>
        <v>129.79651162790699</v>
      </c>
      <c r="F19">
        <f t="shared" si="1"/>
        <v>9</v>
      </c>
      <c r="G19">
        <v>20.413</v>
      </c>
      <c r="H19">
        <v>7.0000000000000007E-2</v>
      </c>
      <c r="I19">
        <f t="shared" si="2"/>
        <v>291.6142857142857</v>
      </c>
      <c r="J19">
        <f t="shared" si="3"/>
        <v>3.0862685543526185</v>
      </c>
    </row>
    <row r="20" spans="1:10">
      <c r="A20" t="s">
        <v>20</v>
      </c>
      <c r="B20" t="s">
        <v>66</v>
      </c>
      <c r="C20" t="s">
        <v>67</v>
      </c>
      <c r="D20">
        <v>4050</v>
      </c>
      <c r="E20">
        <f t="shared" si="0"/>
        <v>117.73255813953489</v>
      </c>
      <c r="F20">
        <f t="shared" si="1"/>
        <v>8</v>
      </c>
      <c r="G20">
        <v>54.216999999999999</v>
      </c>
      <c r="H20">
        <v>7.0000000000000007E-2</v>
      </c>
      <c r="I20">
        <f t="shared" si="2"/>
        <v>774.52857142857135</v>
      </c>
      <c r="J20">
        <f t="shared" si="3"/>
        <v>1.0328863640555546</v>
      </c>
    </row>
    <row r="21" spans="1:10">
      <c r="A21" t="s">
        <v>21</v>
      </c>
      <c r="B21" t="s">
        <v>66</v>
      </c>
      <c r="C21" t="s">
        <v>67</v>
      </c>
      <c r="D21">
        <v>6726</v>
      </c>
      <c r="E21">
        <f t="shared" si="0"/>
        <v>195.52325581395348</v>
      </c>
      <c r="F21">
        <f t="shared" si="1"/>
        <v>14</v>
      </c>
      <c r="G21">
        <v>36.017000000000003</v>
      </c>
      <c r="H21">
        <v>7.0000000000000007E-2</v>
      </c>
      <c r="I21">
        <f t="shared" si="2"/>
        <v>514.52857142857147</v>
      </c>
      <c r="J21">
        <f t="shared" si="3"/>
        <v>2.7209373351472914</v>
      </c>
    </row>
    <row r="22" spans="1:10">
      <c r="A22" t="s">
        <v>22</v>
      </c>
      <c r="B22" t="s">
        <v>66</v>
      </c>
      <c r="C22" t="s">
        <v>67</v>
      </c>
      <c r="D22">
        <v>3227</v>
      </c>
      <c r="E22">
        <f t="shared" si="0"/>
        <v>93.808139534883722</v>
      </c>
      <c r="F22">
        <f t="shared" si="1"/>
        <v>7</v>
      </c>
      <c r="G22">
        <v>32.012</v>
      </c>
      <c r="H22">
        <v>7.0000000000000007E-2</v>
      </c>
      <c r="I22">
        <f t="shared" si="2"/>
        <v>457.31428571428569</v>
      </c>
      <c r="J22">
        <f t="shared" si="3"/>
        <v>1.5306759965013121</v>
      </c>
    </row>
    <row r="23" spans="1:10">
      <c r="A23" t="s">
        <v>23</v>
      </c>
      <c r="B23" t="s">
        <v>64</v>
      </c>
      <c r="C23" t="s">
        <v>65</v>
      </c>
      <c r="D23">
        <v>45427</v>
      </c>
      <c r="E23">
        <f t="shared" si="0"/>
        <v>1320.5523255813955</v>
      </c>
      <c r="F23">
        <f t="shared" si="1"/>
        <v>89</v>
      </c>
      <c r="G23">
        <v>39.991999999999997</v>
      </c>
      <c r="H23">
        <v>7.0000000000000007E-2</v>
      </c>
      <c r="I23">
        <f t="shared" si="2"/>
        <v>571.31428571428557</v>
      </c>
      <c r="J23">
        <f t="shared" si="3"/>
        <v>15.57811562312463</v>
      </c>
    </row>
    <row r="24" spans="1:10">
      <c r="A24" t="s">
        <v>24</v>
      </c>
      <c r="B24" t="s">
        <v>64</v>
      </c>
      <c r="C24" t="s">
        <v>65</v>
      </c>
      <c r="D24">
        <v>42565</v>
      </c>
      <c r="E24">
        <f t="shared" si="0"/>
        <v>1237.3546511627908</v>
      </c>
      <c r="F24">
        <f t="shared" si="1"/>
        <v>83</v>
      </c>
      <c r="G24">
        <v>27.024000000000001</v>
      </c>
      <c r="H24">
        <v>7.0000000000000007E-2</v>
      </c>
      <c r="I24">
        <f t="shared" si="2"/>
        <v>386.05714285714282</v>
      </c>
      <c r="J24">
        <f t="shared" si="3"/>
        <v>21.499407933688573</v>
      </c>
    </row>
    <row r="25" spans="1:10">
      <c r="A25" t="s">
        <v>25</v>
      </c>
      <c r="B25" t="s">
        <v>64</v>
      </c>
      <c r="C25" t="s">
        <v>65</v>
      </c>
      <c r="D25">
        <v>42050</v>
      </c>
      <c r="E25">
        <f t="shared" si="0"/>
        <v>1222.3837209302326</v>
      </c>
      <c r="F25">
        <f t="shared" si="1"/>
        <v>82</v>
      </c>
      <c r="G25">
        <v>25.353999999999999</v>
      </c>
      <c r="H25">
        <v>7.0000000000000007E-2</v>
      </c>
      <c r="I25">
        <f t="shared" si="2"/>
        <v>362.19999999999993</v>
      </c>
      <c r="J25">
        <f t="shared" si="3"/>
        <v>22.639425731639982</v>
      </c>
    </row>
    <row r="26" spans="1:10">
      <c r="A26" t="s">
        <v>26</v>
      </c>
      <c r="B26" t="s">
        <v>64</v>
      </c>
      <c r="C26" t="s">
        <v>65</v>
      </c>
      <c r="D26">
        <v>10253</v>
      </c>
      <c r="E26">
        <f t="shared" si="0"/>
        <v>298.05232558139534</v>
      </c>
      <c r="F26">
        <f t="shared" si="1"/>
        <v>20</v>
      </c>
      <c r="G26">
        <v>28.08</v>
      </c>
      <c r="H26">
        <v>7.0000000000000007E-2</v>
      </c>
      <c r="I26">
        <f t="shared" si="2"/>
        <v>401.14285714285705</v>
      </c>
      <c r="J26">
        <f t="shared" si="3"/>
        <v>4.985754985754987</v>
      </c>
    </row>
    <row r="27" spans="1:10">
      <c r="A27" t="s">
        <v>27</v>
      </c>
      <c r="B27" t="s">
        <v>64</v>
      </c>
      <c r="C27" t="s">
        <v>65</v>
      </c>
      <c r="D27">
        <v>30608</v>
      </c>
      <c r="E27">
        <f t="shared" si="0"/>
        <v>889.76744186046517</v>
      </c>
      <c r="F27">
        <f t="shared" si="1"/>
        <v>60</v>
      </c>
      <c r="G27">
        <v>23.605</v>
      </c>
      <c r="H27">
        <v>7.0000000000000007E-2</v>
      </c>
      <c r="I27">
        <f t="shared" si="2"/>
        <v>337.21428571428567</v>
      </c>
      <c r="J27">
        <f t="shared" si="3"/>
        <v>17.792840499894094</v>
      </c>
    </row>
    <row r="28" spans="1:10">
      <c r="A28" t="s">
        <v>28</v>
      </c>
      <c r="B28" t="s">
        <v>64</v>
      </c>
      <c r="C28" t="s">
        <v>67</v>
      </c>
      <c r="D28">
        <v>13153</v>
      </c>
      <c r="E28">
        <f t="shared" si="0"/>
        <v>382.35465116279073</v>
      </c>
      <c r="F28">
        <f t="shared" si="1"/>
        <v>26</v>
      </c>
      <c r="G28">
        <v>39.103999999999999</v>
      </c>
      <c r="H28">
        <v>7.0000000000000007E-2</v>
      </c>
      <c r="I28">
        <f t="shared" si="2"/>
        <v>558.62857142857138</v>
      </c>
      <c r="J28">
        <f t="shared" si="3"/>
        <v>4.6542553191489366</v>
      </c>
    </row>
    <row r="29" spans="1:10">
      <c r="A29" t="s">
        <v>29</v>
      </c>
      <c r="B29" t="s">
        <v>64</v>
      </c>
      <c r="C29" t="s">
        <v>67</v>
      </c>
      <c r="D29">
        <v>14733</v>
      </c>
      <c r="E29">
        <f t="shared" si="0"/>
        <v>428.28488372093022</v>
      </c>
      <c r="F29">
        <f t="shared" si="1"/>
        <v>29</v>
      </c>
      <c r="G29">
        <v>29.739000000000001</v>
      </c>
      <c r="H29">
        <v>7.0000000000000007E-2</v>
      </c>
      <c r="I29">
        <f t="shared" si="2"/>
        <v>424.8428571428571</v>
      </c>
      <c r="J29">
        <f t="shared" si="3"/>
        <v>6.8260533306432638</v>
      </c>
    </row>
    <row r="30" spans="1:10">
      <c r="A30" t="s">
        <v>30</v>
      </c>
      <c r="B30" t="s">
        <v>64</v>
      </c>
      <c r="C30" t="s">
        <v>67</v>
      </c>
      <c r="D30">
        <v>11555</v>
      </c>
      <c r="E30">
        <f t="shared" si="0"/>
        <v>335.9011627906977</v>
      </c>
      <c r="F30">
        <f t="shared" si="1"/>
        <v>23</v>
      </c>
      <c r="G30">
        <v>27.273</v>
      </c>
      <c r="H30">
        <v>7.0000000000000007E-2</v>
      </c>
      <c r="I30">
        <f t="shared" si="2"/>
        <v>389.6142857142857</v>
      </c>
      <c r="J30">
        <f t="shared" si="3"/>
        <v>5.9032743005903274</v>
      </c>
    </row>
    <row r="31" spans="1:10">
      <c r="A31" t="s">
        <v>31</v>
      </c>
      <c r="B31" t="s">
        <v>64</v>
      </c>
      <c r="C31" t="s">
        <v>67</v>
      </c>
      <c r="D31">
        <v>3756</v>
      </c>
      <c r="E31">
        <f t="shared" si="0"/>
        <v>109.18604651162791</v>
      </c>
      <c r="F31">
        <f t="shared" si="1"/>
        <v>8</v>
      </c>
      <c r="G31">
        <v>21.635999999999999</v>
      </c>
      <c r="H31">
        <v>7.0000000000000007E-2</v>
      </c>
      <c r="I31">
        <f t="shared" si="2"/>
        <v>309.08571428571423</v>
      </c>
      <c r="J31">
        <f t="shared" si="3"/>
        <v>2.5882787946015906</v>
      </c>
    </row>
    <row r="32" spans="1:10">
      <c r="A32" t="s">
        <v>32</v>
      </c>
      <c r="B32" t="s">
        <v>64</v>
      </c>
      <c r="C32" t="s">
        <v>67</v>
      </c>
      <c r="D32">
        <v>39583</v>
      </c>
      <c r="E32">
        <f t="shared" si="0"/>
        <v>1150.6686046511629</v>
      </c>
      <c r="F32">
        <f t="shared" si="1"/>
        <v>77</v>
      </c>
      <c r="G32">
        <v>31.295999999999999</v>
      </c>
      <c r="H32">
        <v>7.0000000000000007E-2</v>
      </c>
      <c r="I32">
        <f t="shared" si="2"/>
        <v>447.08571428571423</v>
      </c>
      <c r="J32">
        <f t="shared" si="3"/>
        <v>17.222648261758692</v>
      </c>
    </row>
    <row r="33" spans="1:10">
      <c r="A33" t="s">
        <v>33</v>
      </c>
      <c r="B33" t="s">
        <v>66</v>
      </c>
      <c r="C33" t="s">
        <v>65</v>
      </c>
      <c r="D33">
        <v>24707</v>
      </c>
      <c r="E33">
        <f t="shared" si="0"/>
        <v>718.22674418604652</v>
      </c>
      <c r="F33">
        <f t="shared" si="1"/>
        <v>48</v>
      </c>
      <c r="G33">
        <v>43.805</v>
      </c>
      <c r="H33">
        <v>7.0000000000000007E-2</v>
      </c>
      <c r="I33">
        <f t="shared" si="2"/>
        <v>625.78571428571422</v>
      </c>
      <c r="J33">
        <f t="shared" si="3"/>
        <v>7.6703572651523801</v>
      </c>
    </row>
    <row r="34" spans="1:10">
      <c r="A34" t="s">
        <v>34</v>
      </c>
      <c r="B34" t="s">
        <v>66</v>
      </c>
      <c r="C34" t="s">
        <v>65</v>
      </c>
      <c r="D34">
        <v>36956</v>
      </c>
      <c r="E34">
        <f t="shared" si="0"/>
        <v>1074.3023255813953</v>
      </c>
      <c r="F34">
        <f t="shared" si="1"/>
        <v>72</v>
      </c>
      <c r="G34">
        <v>29.908999999999999</v>
      </c>
      <c r="H34">
        <v>7.0000000000000007E-2</v>
      </c>
      <c r="I34">
        <f t="shared" si="2"/>
        <v>427.27142857142849</v>
      </c>
      <c r="J34">
        <f t="shared" si="3"/>
        <v>16.851115048981914</v>
      </c>
    </row>
    <row r="35" spans="1:10">
      <c r="A35" t="s">
        <v>35</v>
      </c>
      <c r="B35" t="s">
        <v>66</v>
      </c>
      <c r="C35" t="s">
        <v>65</v>
      </c>
      <c r="D35">
        <v>22046</v>
      </c>
      <c r="E35">
        <f t="shared" si="0"/>
        <v>640.87209302325584</v>
      </c>
      <c r="F35">
        <f t="shared" si="1"/>
        <v>43</v>
      </c>
      <c r="G35">
        <v>26.707999999999998</v>
      </c>
      <c r="H35">
        <v>7.0000000000000007E-2</v>
      </c>
      <c r="I35">
        <f t="shared" si="2"/>
        <v>381.54285714285709</v>
      </c>
      <c r="J35">
        <f t="shared" si="3"/>
        <v>11.270031451250563</v>
      </c>
    </row>
    <row r="36" spans="1:10">
      <c r="A36" t="s">
        <v>36</v>
      </c>
      <c r="B36" t="s">
        <v>66</v>
      </c>
      <c r="C36" t="s">
        <v>65</v>
      </c>
      <c r="D36">
        <v>57298</v>
      </c>
      <c r="E36">
        <f t="shared" si="0"/>
        <v>1665.6395348837209</v>
      </c>
      <c r="F36">
        <f t="shared" si="1"/>
        <v>112</v>
      </c>
      <c r="G36">
        <v>27.355</v>
      </c>
      <c r="H36">
        <v>7.0000000000000007E-2</v>
      </c>
      <c r="I36">
        <f t="shared" si="2"/>
        <v>390.78571428571428</v>
      </c>
      <c r="J36">
        <f t="shared" si="3"/>
        <v>28.660208371412903</v>
      </c>
    </row>
    <row r="37" spans="1:10">
      <c r="A37" t="s">
        <v>37</v>
      </c>
      <c r="B37" t="s">
        <v>66</v>
      </c>
      <c r="C37" t="s">
        <v>65</v>
      </c>
      <c r="D37">
        <v>17774</v>
      </c>
      <c r="E37">
        <f t="shared" si="0"/>
        <v>516.68604651162798</v>
      </c>
      <c r="F37">
        <f t="shared" si="1"/>
        <v>35</v>
      </c>
      <c r="G37">
        <v>20.983000000000001</v>
      </c>
      <c r="H37">
        <v>7.0000000000000007E-2</v>
      </c>
      <c r="I37">
        <f t="shared" si="2"/>
        <v>299.75714285714281</v>
      </c>
      <c r="J37">
        <f t="shared" si="3"/>
        <v>11.67611876280799</v>
      </c>
    </row>
    <row r="38" spans="1:10">
      <c r="A38" t="s">
        <v>38</v>
      </c>
      <c r="B38" t="s">
        <v>66</v>
      </c>
      <c r="C38" t="s">
        <v>67</v>
      </c>
      <c r="D38">
        <v>3126</v>
      </c>
      <c r="E38">
        <f t="shared" si="0"/>
        <v>90.872093023255815</v>
      </c>
      <c r="F38">
        <f t="shared" si="1"/>
        <v>7</v>
      </c>
      <c r="G38">
        <v>26.242999999999999</v>
      </c>
      <c r="H38">
        <v>7.0000000000000007E-2</v>
      </c>
      <c r="I38">
        <f t="shared" si="2"/>
        <v>374.89999999999992</v>
      </c>
      <c r="J38">
        <f t="shared" si="3"/>
        <v>1.8671645772205925</v>
      </c>
    </row>
    <row r="39" spans="1:10">
      <c r="A39" t="s">
        <v>39</v>
      </c>
      <c r="B39" t="s">
        <v>66</v>
      </c>
      <c r="C39" t="s">
        <v>67</v>
      </c>
      <c r="D39">
        <v>2064</v>
      </c>
      <c r="E39">
        <f t="shared" si="0"/>
        <v>60</v>
      </c>
      <c r="F39">
        <f t="shared" si="1"/>
        <v>4</v>
      </c>
      <c r="G39">
        <v>19.904</v>
      </c>
      <c r="H39">
        <v>7.0000000000000007E-2</v>
      </c>
      <c r="I39">
        <f t="shared" si="2"/>
        <v>284.3428571428571</v>
      </c>
      <c r="J39">
        <f t="shared" si="3"/>
        <v>1.406752411575563</v>
      </c>
    </row>
    <row r="40" spans="1:10">
      <c r="A40" t="s">
        <v>40</v>
      </c>
      <c r="B40" t="s">
        <v>66</v>
      </c>
      <c r="C40" t="s">
        <v>67</v>
      </c>
      <c r="D40">
        <v>1499</v>
      </c>
      <c r="E40">
        <f t="shared" si="0"/>
        <v>43.575581395348841</v>
      </c>
      <c r="F40">
        <f t="shared" si="1"/>
        <v>3</v>
      </c>
      <c r="G40">
        <v>25.66</v>
      </c>
      <c r="H40">
        <v>7.0000000000000007E-2</v>
      </c>
      <c r="I40">
        <f t="shared" si="2"/>
        <v>366.57142857142856</v>
      </c>
      <c r="J40">
        <f t="shared" si="3"/>
        <v>0.81839438815276699</v>
      </c>
    </row>
    <row r="41" spans="1:10">
      <c r="A41" t="s">
        <v>41</v>
      </c>
      <c r="B41" t="s">
        <v>66</v>
      </c>
      <c r="C41" t="s">
        <v>67</v>
      </c>
      <c r="D41">
        <v>8623</v>
      </c>
      <c r="E41">
        <f t="shared" si="0"/>
        <v>250.66860465116281</v>
      </c>
      <c r="F41">
        <f t="shared" si="1"/>
        <v>17</v>
      </c>
      <c r="G41">
        <v>28.306000000000001</v>
      </c>
      <c r="H41">
        <v>7.0000000000000007E-2</v>
      </c>
      <c r="I41">
        <f t="shared" si="2"/>
        <v>404.37142857142857</v>
      </c>
      <c r="J41">
        <f t="shared" si="3"/>
        <v>4.2040556772415743</v>
      </c>
    </row>
    <row r="42" spans="1:10">
      <c r="A42" t="s">
        <v>42</v>
      </c>
      <c r="B42" t="s">
        <v>66</v>
      </c>
      <c r="C42" t="s">
        <v>67</v>
      </c>
      <c r="D42">
        <v>7244</v>
      </c>
      <c r="E42">
        <f t="shared" si="0"/>
        <v>210.58139534883722</v>
      </c>
      <c r="F42">
        <f t="shared" si="1"/>
        <v>15</v>
      </c>
      <c r="G42">
        <v>28.943999999999999</v>
      </c>
      <c r="H42">
        <v>7.0000000000000007E-2</v>
      </c>
      <c r="I42">
        <f t="shared" si="2"/>
        <v>413.48571428571421</v>
      </c>
      <c r="J42">
        <f t="shared" si="3"/>
        <v>3.6276948590381433</v>
      </c>
    </row>
    <row r="43" spans="1:10">
      <c r="A43" t="s">
        <v>43</v>
      </c>
      <c r="B43" t="s">
        <v>64</v>
      </c>
      <c r="C43" t="s">
        <v>65</v>
      </c>
      <c r="D43">
        <v>24702</v>
      </c>
      <c r="E43">
        <f t="shared" si="0"/>
        <v>718.08139534883719</v>
      </c>
      <c r="F43">
        <f t="shared" si="1"/>
        <v>48</v>
      </c>
      <c r="G43">
        <v>16.277999999999999</v>
      </c>
      <c r="H43">
        <v>7.0000000000000007E-2</v>
      </c>
      <c r="I43">
        <f t="shared" si="2"/>
        <v>232.54285714285712</v>
      </c>
      <c r="J43">
        <f t="shared" si="3"/>
        <v>20.641356431994105</v>
      </c>
    </row>
    <row r="44" spans="1:10">
      <c r="A44" t="s">
        <v>44</v>
      </c>
      <c r="B44" t="s">
        <v>64</v>
      </c>
      <c r="C44" t="s">
        <v>65</v>
      </c>
      <c r="D44">
        <v>25509</v>
      </c>
      <c r="E44">
        <f t="shared" si="0"/>
        <v>741.54069767441865</v>
      </c>
      <c r="F44">
        <f t="shared" si="1"/>
        <v>50</v>
      </c>
      <c r="G44">
        <v>22.172000000000001</v>
      </c>
      <c r="H44">
        <v>7.0000000000000007E-2</v>
      </c>
      <c r="I44">
        <f t="shared" si="2"/>
        <v>316.74285714285713</v>
      </c>
      <c r="J44">
        <f t="shared" si="3"/>
        <v>15.785675626916833</v>
      </c>
    </row>
    <row r="45" spans="1:10">
      <c r="A45" t="s">
        <v>45</v>
      </c>
      <c r="B45" t="s">
        <v>64</v>
      </c>
      <c r="C45" t="s">
        <v>65</v>
      </c>
      <c r="D45">
        <v>13506</v>
      </c>
      <c r="E45">
        <f t="shared" si="0"/>
        <v>392.61627906976747</v>
      </c>
      <c r="F45">
        <f t="shared" si="1"/>
        <v>27</v>
      </c>
      <c r="G45">
        <v>12.558</v>
      </c>
      <c r="H45">
        <v>7.0000000000000007E-2</v>
      </c>
      <c r="I45">
        <f t="shared" si="2"/>
        <v>179.39999999999998</v>
      </c>
      <c r="J45">
        <f t="shared" si="3"/>
        <v>15.050167224080269</v>
      </c>
    </row>
    <row r="46" spans="1:10">
      <c r="A46" t="s">
        <v>46</v>
      </c>
      <c r="B46" t="s">
        <v>64</v>
      </c>
      <c r="C46" t="s">
        <v>65</v>
      </c>
      <c r="D46">
        <v>25668</v>
      </c>
      <c r="E46">
        <f t="shared" si="0"/>
        <v>746.1627906976745</v>
      </c>
      <c r="F46">
        <f t="shared" si="1"/>
        <v>50</v>
      </c>
      <c r="G46">
        <v>21.75</v>
      </c>
      <c r="H46">
        <v>7.0000000000000007E-2</v>
      </c>
      <c r="I46">
        <f t="shared" si="2"/>
        <v>310.71428571428567</v>
      </c>
      <c r="J46">
        <f t="shared" si="3"/>
        <v>16.091954022988507</v>
      </c>
    </row>
    <row r="47" spans="1:10">
      <c r="A47" t="s">
        <v>47</v>
      </c>
      <c r="B47" t="s">
        <v>64</v>
      </c>
      <c r="C47" t="s">
        <v>65</v>
      </c>
      <c r="D47">
        <v>14575</v>
      </c>
      <c r="E47">
        <f t="shared" si="0"/>
        <v>423.69186046511629</v>
      </c>
      <c r="F47">
        <f t="shared" si="1"/>
        <v>29</v>
      </c>
      <c r="G47">
        <v>15.191000000000001</v>
      </c>
      <c r="H47">
        <v>7.0000000000000007E-2</v>
      </c>
      <c r="I47">
        <f t="shared" si="2"/>
        <v>217.01428571428571</v>
      </c>
      <c r="J47">
        <f t="shared" si="3"/>
        <v>13.363175564478968</v>
      </c>
    </row>
    <row r="48" spans="1:10">
      <c r="A48" t="s">
        <v>48</v>
      </c>
      <c r="B48" t="s">
        <v>64</v>
      </c>
      <c r="C48" t="s">
        <v>65</v>
      </c>
      <c r="D48">
        <v>27591</v>
      </c>
      <c r="E48">
        <f t="shared" si="0"/>
        <v>802.06395348837214</v>
      </c>
      <c r="F48">
        <f t="shared" si="1"/>
        <v>54</v>
      </c>
      <c r="G48">
        <v>20.521000000000001</v>
      </c>
      <c r="H48">
        <v>7.0000000000000007E-2</v>
      </c>
      <c r="I48">
        <f t="shared" si="2"/>
        <v>293.15714285714284</v>
      </c>
      <c r="J48">
        <f t="shared" si="3"/>
        <v>18.420154963208422</v>
      </c>
    </row>
    <row r="49" spans="1:10">
      <c r="A49" t="s">
        <v>49</v>
      </c>
      <c r="B49" t="s">
        <v>64</v>
      </c>
      <c r="C49" t="s">
        <v>67</v>
      </c>
      <c r="D49">
        <v>20873</v>
      </c>
      <c r="E49">
        <f t="shared" si="0"/>
        <v>606.77325581395348</v>
      </c>
      <c r="F49">
        <f t="shared" si="1"/>
        <v>41</v>
      </c>
      <c r="G49">
        <v>15.404</v>
      </c>
      <c r="H49">
        <v>7.0000000000000007E-2</v>
      </c>
      <c r="I49">
        <f t="shared" si="2"/>
        <v>220.05714285714282</v>
      </c>
      <c r="J49">
        <f t="shared" si="3"/>
        <v>18.631524279407948</v>
      </c>
    </row>
    <row r="50" spans="1:10">
      <c r="A50" t="s">
        <v>50</v>
      </c>
      <c r="B50" t="s">
        <v>64</v>
      </c>
      <c r="C50" t="s">
        <v>67</v>
      </c>
      <c r="D50">
        <v>35212</v>
      </c>
      <c r="E50">
        <f t="shared" si="0"/>
        <v>1023.6046511627908</v>
      </c>
      <c r="F50">
        <f t="shared" si="1"/>
        <v>69</v>
      </c>
      <c r="G50">
        <v>29.22</v>
      </c>
      <c r="H50">
        <v>7.0000000000000007E-2</v>
      </c>
      <c r="I50">
        <f t="shared" si="2"/>
        <v>417.42857142857139</v>
      </c>
      <c r="J50">
        <f t="shared" si="3"/>
        <v>16.529774127310066</v>
      </c>
    </row>
    <row r="51" spans="1:10">
      <c r="A51" t="s">
        <v>51</v>
      </c>
      <c r="B51" t="s">
        <v>64</v>
      </c>
      <c r="C51" t="s">
        <v>67</v>
      </c>
      <c r="D51">
        <v>32550</v>
      </c>
      <c r="E51">
        <f t="shared" si="0"/>
        <v>946.2209302325582</v>
      </c>
      <c r="F51">
        <f t="shared" si="1"/>
        <v>64</v>
      </c>
      <c r="G51">
        <v>34.371000000000002</v>
      </c>
      <c r="H51">
        <v>7.0000000000000007E-2</v>
      </c>
      <c r="I51">
        <f t="shared" si="2"/>
        <v>491.01428571428568</v>
      </c>
      <c r="J51">
        <f t="shared" si="3"/>
        <v>13.034243984754591</v>
      </c>
    </row>
    <row r="52" spans="1:10">
      <c r="A52" t="s">
        <v>52</v>
      </c>
      <c r="B52" t="s">
        <v>64</v>
      </c>
      <c r="C52" t="s">
        <v>67</v>
      </c>
      <c r="D52">
        <v>24018</v>
      </c>
      <c r="E52">
        <f t="shared" si="0"/>
        <v>698.19767441860472</v>
      </c>
      <c r="F52">
        <f t="shared" si="1"/>
        <v>47</v>
      </c>
      <c r="G52">
        <v>21.044</v>
      </c>
      <c r="H52">
        <v>7.0000000000000007E-2</v>
      </c>
      <c r="I52">
        <f t="shared" si="2"/>
        <v>300.62857142857143</v>
      </c>
      <c r="J52">
        <f t="shared" si="3"/>
        <v>15.633909903060255</v>
      </c>
    </row>
    <row r="53" spans="1:10">
      <c r="A53" t="s">
        <v>53</v>
      </c>
      <c r="B53" t="s">
        <v>64</v>
      </c>
      <c r="C53" t="s">
        <v>67</v>
      </c>
      <c r="D53">
        <v>19442</v>
      </c>
      <c r="E53">
        <f t="shared" si="0"/>
        <v>565.17441860465124</v>
      </c>
      <c r="F53">
        <f t="shared" si="1"/>
        <v>38</v>
      </c>
      <c r="G53">
        <v>20.806999999999999</v>
      </c>
      <c r="H53">
        <v>7.0000000000000007E-2</v>
      </c>
      <c r="I53">
        <f t="shared" si="2"/>
        <v>297.24285714285708</v>
      </c>
      <c r="J53">
        <f t="shared" si="3"/>
        <v>12.784159177199983</v>
      </c>
    </row>
    <row r="54" spans="1:10">
      <c r="A54" t="s">
        <v>54</v>
      </c>
      <c r="B54" t="s">
        <v>66</v>
      </c>
      <c r="C54" t="s">
        <v>65</v>
      </c>
      <c r="D54">
        <v>185604</v>
      </c>
      <c r="E54">
        <f t="shared" si="0"/>
        <v>5395.4651162790697</v>
      </c>
      <c r="F54">
        <f t="shared" si="1"/>
        <v>360</v>
      </c>
      <c r="G54">
        <v>26.41</v>
      </c>
      <c r="H54">
        <v>7.0000000000000007E-2</v>
      </c>
      <c r="I54">
        <f t="shared" si="2"/>
        <v>377.28571428571428</v>
      </c>
      <c r="J54">
        <f t="shared" si="3"/>
        <v>95.418402120408942</v>
      </c>
    </row>
    <row r="55" spans="1:10">
      <c r="A55" t="s">
        <v>55</v>
      </c>
      <c r="B55" t="s">
        <v>66</v>
      </c>
      <c r="C55" t="s">
        <v>65</v>
      </c>
      <c r="D55">
        <v>279059</v>
      </c>
      <c r="E55">
        <f t="shared" si="0"/>
        <v>8112.1802325581402</v>
      </c>
      <c r="F55">
        <f t="shared" si="1"/>
        <v>541</v>
      </c>
      <c r="G55">
        <v>13.821</v>
      </c>
      <c r="H55">
        <v>7.0000000000000007E-2</v>
      </c>
      <c r="I55">
        <f t="shared" si="2"/>
        <v>197.44285714285712</v>
      </c>
      <c r="J55">
        <f t="shared" si="3"/>
        <v>274.00332826857681</v>
      </c>
    </row>
    <row r="56" spans="1:10">
      <c r="A56" t="s">
        <v>56</v>
      </c>
      <c r="B56" t="s">
        <v>66</v>
      </c>
      <c r="C56" t="s">
        <v>65</v>
      </c>
      <c r="D56">
        <v>224132</v>
      </c>
      <c r="E56">
        <f t="shared" si="0"/>
        <v>6515.4651162790697</v>
      </c>
      <c r="F56">
        <f t="shared" si="1"/>
        <v>435</v>
      </c>
      <c r="G56">
        <v>14.225</v>
      </c>
      <c r="H56">
        <v>7.0000000000000007E-2</v>
      </c>
      <c r="I56">
        <f t="shared" si="2"/>
        <v>203.21428571428569</v>
      </c>
      <c r="J56">
        <f t="shared" si="3"/>
        <v>214.05975395430582</v>
      </c>
    </row>
    <row r="57" spans="1:10">
      <c r="A57" t="s">
        <v>57</v>
      </c>
      <c r="B57" t="s">
        <v>66</v>
      </c>
      <c r="C57" t="s">
        <v>65</v>
      </c>
      <c r="D57">
        <v>205870</v>
      </c>
      <c r="E57">
        <f t="shared" si="0"/>
        <v>5984.5930232558139</v>
      </c>
      <c r="F57">
        <f t="shared" si="1"/>
        <v>399</v>
      </c>
      <c r="G57">
        <v>12.368</v>
      </c>
      <c r="H57">
        <v>7.0000000000000007E-2</v>
      </c>
      <c r="I57">
        <f t="shared" si="2"/>
        <v>176.68571428571428</v>
      </c>
      <c r="J57">
        <f t="shared" si="3"/>
        <v>225.82470892626131</v>
      </c>
    </row>
    <row r="58" spans="1:10">
      <c r="A58" t="s">
        <v>58</v>
      </c>
      <c r="B58" t="s">
        <v>66</v>
      </c>
      <c r="C58" t="s">
        <v>65</v>
      </c>
      <c r="D58">
        <v>162591</v>
      </c>
      <c r="E58">
        <f t="shared" si="0"/>
        <v>4726.4825581395353</v>
      </c>
      <c r="F58">
        <f t="shared" si="1"/>
        <v>316</v>
      </c>
      <c r="G58">
        <v>19.974</v>
      </c>
      <c r="H58">
        <v>7.0000000000000007E-2</v>
      </c>
      <c r="I58">
        <f t="shared" si="2"/>
        <v>285.3428571428571</v>
      </c>
      <c r="J58">
        <f t="shared" si="3"/>
        <v>110.74396715730451</v>
      </c>
    </row>
    <row r="59" spans="1:10">
      <c r="A59" t="s">
        <v>59</v>
      </c>
      <c r="B59" t="s">
        <v>66</v>
      </c>
      <c r="C59" t="s">
        <v>67</v>
      </c>
      <c r="D59">
        <v>24408</v>
      </c>
      <c r="E59">
        <f t="shared" si="0"/>
        <v>709.53488372093022</v>
      </c>
      <c r="F59">
        <f t="shared" si="1"/>
        <v>48</v>
      </c>
      <c r="G59">
        <v>39.686999999999998</v>
      </c>
      <c r="H59">
        <v>7.0000000000000007E-2</v>
      </c>
      <c r="I59">
        <f t="shared" si="2"/>
        <v>566.9571428571428</v>
      </c>
      <c r="J59">
        <f t="shared" si="3"/>
        <v>8.4662483936805515</v>
      </c>
    </row>
    <row r="60" spans="1:10">
      <c r="A60" t="s">
        <v>60</v>
      </c>
      <c r="B60" t="s">
        <v>66</v>
      </c>
      <c r="C60" t="s">
        <v>67</v>
      </c>
      <c r="D60">
        <v>55321</v>
      </c>
      <c r="E60">
        <f t="shared" si="0"/>
        <v>1608.1686046511629</v>
      </c>
      <c r="F60">
        <f t="shared" si="1"/>
        <v>108</v>
      </c>
      <c r="G60">
        <v>23.062000000000001</v>
      </c>
      <c r="H60">
        <v>7.0000000000000007E-2</v>
      </c>
      <c r="I60">
        <f t="shared" si="2"/>
        <v>329.45714285714286</v>
      </c>
      <c r="J60">
        <f t="shared" si="3"/>
        <v>32.781198508368746</v>
      </c>
    </row>
    <row r="61" spans="1:10">
      <c r="A61" t="s">
        <v>61</v>
      </c>
      <c r="B61" t="s">
        <v>66</v>
      </c>
      <c r="C61" t="s">
        <v>67</v>
      </c>
      <c r="D61">
        <v>38663</v>
      </c>
      <c r="E61">
        <f t="shared" si="0"/>
        <v>1123.9244186046512</v>
      </c>
      <c r="F61">
        <f t="shared" si="1"/>
        <v>75</v>
      </c>
      <c r="G61">
        <v>17.207000000000001</v>
      </c>
      <c r="H61">
        <v>7.0000000000000007E-2</v>
      </c>
      <c r="I61">
        <f t="shared" si="2"/>
        <v>245.81428571428569</v>
      </c>
      <c r="J61">
        <f t="shared" si="3"/>
        <v>30.510838612192718</v>
      </c>
    </row>
    <row r="62" spans="1:10">
      <c r="A62" t="s">
        <v>62</v>
      </c>
      <c r="B62" t="s">
        <v>66</v>
      </c>
      <c r="C62" t="s">
        <v>67</v>
      </c>
      <c r="D62">
        <v>23079</v>
      </c>
      <c r="E62">
        <f t="shared" si="0"/>
        <v>670.90116279069775</v>
      </c>
      <c r="F62">
        <f t="shared" si="1"/>
        <v>45</v>
      </c>
      <c r="G62">
        <v>31.943000000000001</v>
      </c>
      <c r="H62">
        <v>7.0000000000000007E-2</v>
      </c>
      <c r="I62">
        <f t="shared" si="2"/>
        <v>456.32857142857142</v>
      </c>
      <c r="J62">
        <f t="shared" si="3"/>
        <v>9.8613154681776916</v>
      </c>
    </row>
    <row r="63" spans="1:10">
      <c r="A63" t="s">
        <v>1</v>
      </c>
      <c r="B63" t="s">
        <v>66</v>
      </c>
      <c r="C63" t="s">
        <v>67</v>
      </c>
      <c r="D63">
        <v>64019</v>
      </c>
      <c r="E63">
        <f t="shared" si="0"/>
        <v>1861.0174418604652</v>
      </c>
      <c r="F63">
        <f t="shared" si="1"/>
        <v>125</v>
      </c>
      <c r="G63">
        <v>24.097000000000001</v>
      </c>
      <c r="H63">
        <v>7.0000000000000007E-2</v>
      </c>
      <c r="I63">
        <f t="shared" si="2"/>
        <v>344.24285714285713</v>
      </c>
      <c r="J63">
        <f t="shared" si="3"/>
        <v>36.311574054861602</v>
      </c>
    </row>
  </sheetData>
  <autoFilter ref="A1:P63" xr:uid="{00000000-0001-0000-0000-000000000000}"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DE02-FAC3-4EF0-909C-37A62107F200}">
  <dimension ref="A1:S1365"/>
  <sheetViews>
    <sheetView workbookViewId="0">
      <selection sqref="A1:XFD1"/>
    </sheetView>
  </sheetViews>
  <sheetFormatPr defaultRowHeight="18.75"/>
  <cols>
    <col min="1" max="1" width="33.125" customWidth="1"/>
  </cols>
  <sheetData>
    <row r="1" spans="1:19">
      <c r="B1" t="s">
        <v>63</v>
      </c>
      <c r="C1" t="s">
        <v>131</v>
      </c>
      <c r="D1" t="s">
        <v>134</v>
      </c>
      <c r="E1" t="s">
        <v>135</v>
      </c>
      <c r="G1" t="s">
        <v>140</v>
      </c>
      <c r="L1">
        <v>300</v>
      </c>
    </row>
    <row r="2" spans="1:19">
      <c r="A2" t="s">
        <v>132</v>
      </c>
      <c r="B2" t="s">
        <v>64</v>
      </c>
      <c r="C2" t="s">
        <v>65</v>
      </c>
      <c r="D2">
        <v>44</v>
      </c>
      <c r="E2">
        <v>143</v>
      </c>
      <c r="F2">
        <f>D2*300/E2</f>
        <v>92.307692307692307</v>
      </c>
      <c r="G2">
        <f>ROUNDUP(D2/3,0)</f>
        <v>15</v>
      </c>
      <c r="I2">
        <f>COUNTIF(S:S,1)</f>
        <v>274</v>
      </c>
      <c r="J2">
        <f>COUNTIF(S:S,64)</f>
        <v>12</v>
      </c>
      <c r="N2">
        <v>1</v>
      </c>
      <c r="O2">
        <v>0</v>
      </c>
      <c r="P2">
        <v>17.812000000000001</v>
      </c>
      <c r="Q2">
        <v>2.302</v>
      </c>
      <c r="R2">
        <v>0</v>
      </c>
      <c r="S2">
        <v>1</v>
      </c>
    </row>
    <row r="3" spans="1:19">
      <c r="A3" t="s">
        <v>70</v>
      </c>
      <c r="B3" t="s">
        <v>64</v>
      </c>
      <c r="C3" t="s">
        <v>65</v>
      </c>
      <c r="D3">
        <v>52</v>
      </c>
      <c r="E3">
        <v>176.21899999999999</v>
      </c>
      <c r="F3">
        <f>D3*300/E3</f>
        <v>88.52620886510536</v>
      </c>
      <c r="G3">
        <f>ROUNDUP(D3/3,0)</f>
        <v>18</v>
      </c>
      <c r="I3">
        <f>COUNTIF(S:S,2)</f>
        <v>229</v>
      </c>
      <c r="N3">
        <v>2</v>
      </c>
      <c r="O3">
        <v>0</v>
      </c>
      <c r="P3">
        <v>4.6749999999999998</v>
      </c>
      <c r="Q3">
        <v>4.3419999999999996</v>
      </c>
      <c r="R3">
        <v>0</v>
      </c>
      <c r="S3">
        <v>1</v>
      </c>
    </row>
    <row r="4" spans="1:19">
      <c r="A4" t="s">
        <v>71</v>
      </c>
      <c r="B4" t="s">
        <v>64</v>
      </c>
      <c r="C4" t="s">
        <v>65</v>
      </c>
      <c r="D4">
        <v>40</v>
      </c>
      <c r="E4">
        <v>149.268</v>
      </c>
      <c r="F4">
        <f t="shared" ref="F4:F64" si="0">D4*300/E4</f>
        <v>80.392314494734308</v>
      </c>
      <c r="G4">
        <f t="shared" ref="G4:G64" si="1">ROUNDUP(D4/3,0)</f>
        <v>14</v>
      </c>
      <c r="I4">
        <f>COUNTIF(S:S,3)</f>
        <v>201</v>
      </c>
      <c r="N4">
        <v>3</v>
      </c>
      <c r="O4">
        <v>0</v>
      </c>
      <c r="P4">
        <v>4.0359999999999996</v>
      </c>
      <c r="Q4">
        <v>5.1749999999999998</v>
      </c>
      <c r="R4">
        <v>0</v>
      </c>
      <c r="S4">
        <v>1</v>
      </c>
    </row>
    <row r="5" spans="1:19">
      <c r="A5" t="s">
        <v>72</v>
      </c>
      <c r="B5" t="s">
        <v>64</v>
      </c>
      <c r="C5" t="s">
        <v>65</v>
      </c>
      <c r="D5">
        <v>6</v>
      </c>
      <c r="E5">
        <v>155.51400000000001</v>
      </c>
      <c r="F5">
        <f t="shared" si="0"/>
        <v>11.574520621937573</v>
      </c>
      <c r="G5">
        <f t="shared" si="1"/>
        <v>2</v>
      </c>
      <c r="I5">
        <f>COUNTIF(S:S,4)</f>
        <v>240</v>
      </c>
      <c r="N5">
        <v>4</v>
      </c>
      <c r="O5">
        <v>0</v>
      </c>
      <c r="P5">
        <v>4.62</v>
      </c>
      <c r="Q5">
        <v>5.1609999999999996</v>
      </c>
      <c r="R5">
        <v>0</v>
      </c>
      <c r="S5">
        <v>1</v>
      </c>
    </row>
    <row r="6" spans="1:19">
      <c r="A6" t="s">
        <v>73</v>
      </c>
      <c r="B6" t="s">
        <v>64</v>
      </c>
      <c r="C6" t="s">
        <v>65</v>
      </c>
      <c r="D6">
        <v>10</v>
      </c>
      <c r="E6">
        <v>155.54</v>
      </c>
      <c r="F6">
        <f t="shared" si="0"/>
        <v>19.287643050019287</v>
      </c>
      <c r="G6">
        <f t="shared" si="1"/>
        <v>4</v>
      </c>
      <c r="I6">
        <f>COUNTIF(S:S,5)</f>
        <v>223</v>
      </c>
      <c r="N6">
        <v>5</v>
      </c>
      <c r="O6">
        <v>0</v>
      </c>
      <c r="P6">
        <v>5.0359999999999996</v>
      </c>
      <c r="Q6">
        <v>5.2729999999999997</v>
      </c>
      <c r="R6">
        <v>0</v>
      </c>
      <c r="S6">
        <v>1</v>
      </c>
    </row>
    <row r="7" spans="1:19">
      <c r="A7" t="s">
        <v>74</v>
      </c>
      <c r="B7" t="s">
        <v>64</v>
      </c>
      <c r="C7" t="s">
        <v>65</v>
      </c>
      <c r="D7">
        <v>6</v>
      </c>
      <c r="E7">
        <v>147.04900000000001</v>
      </c>
      <c r="F7">
        <f t="shared" si="0"/>
        <v>12.240817686621465</v>
      </c>
      <c r="G7">
        <f t="shared" si="1"/>
        <v>2</v>
      </c>
      <c r="I7">
        <f>COUNTIF(S:S,6)</f>
        <v>185</v>
      </c>
      <c r="N7">
        <v>6</v>
      </c>
      <c r="O7">
        <v>0</v>
      </c>
      <c r="P7">
        <v>4.9950000000000001</v>
      </c>
      <c r="Q7">
        <v>4.8</v>
      </c>
      <c r="R7">
        <v>0</v>
      </c>
      <c r="S7">
        <v>1</v>
      </c>
    </row>
    <row r="8" spans="1:19">
      <c r="A8" t="s">
        <v>75</v>
      </c>
      <c r="B8" t="s">
        <v>64</v>
      </c>
      <c r="C8" t="s">
        <v>65</v>
      </c>
      <c r="D8">
        <v>18</v>
      </c>
      <c r="E8">
        <v>145.15</v>
      </c>
      <c r="F8">
        <f t="shared" si="0"/>
        <v>37.202893558387871</v>
      </c>
      <c r="G8">
        <f t="shared" si="1"/>
        <v>6</v>
      </c>
      <c r="N8">
        <v>7</v>
      </c>
      <c r="O8">
        <v>0</v>
      </c>
      <c r="P8">
        <v>5.6059999999999999</v>
      </c>
      <c r="Q8">
        <v>4.4669999999999996</v>
      </c>
      <c r="R8">
        <v>0</v>
      </c>
      <c r="S8">
        <v>1</v>
      </c>
    </row>
    <row r="9" spans="1:19">
      <c r="A9" t="s">
        <v>76</v>
      </c>
      <c r="B9" t="s">
        <v>64</v>
      </c>
      <c r="C9" t="s">
        <v>65</v>
      </c>
      <c r="D9">
        <v>15</v>
      </c>
      <c r="E9">
        <v>139.173</v>
      </c>
      <c r="F9">
        <f t="shared" si="0"/>
        <v>32.333857860360844</v>
      </c>
      <c r="G9">
        <f t="shared" si="1"/>
        <v>5</v>
      </c>
      <c r="N9">
        <v>8</v>
      </c>
      <c r="O9">
        <v>0</v>
      </c>
      <c r="P9">
        <v>6.0090000000000003</v>
      </c>
      <c r="Q9">
        <v>3.3839999999999999</v>
      </c>
      <c r="R9">
        <v>0</v>
      </c>
      <c r="S9">
        <v>1</v>
      </c>
    </row>
    <row r="10" spans="1:19">
      <c r="A10" t="s">
        <v>77</v>
      </c>
      <c r="B10" t="s">
        <v>64</v>
      </c>
      <c r="C10" t="s">
        <v>65</v>
      </c>
      <c r="D10">
        <v>3</v>
      </c>
      <c r="E10">
        <v>146.57300000000001</v>
      </c>
      <c r="F10">
        <f t="shared" si="0"/>
        <v>6.1402850456768983</v>
      </c>
      <c r="G10">
        <f t="shared" si="1"/>
        <v>1</v>
      </c>
      <c r="N10">
        <v>9</v>
      </c>
      <c r="O10">
        <v>0</v>
      </c>
      <c r="P10">
        <v>6.2729999999999997</v>
      </c>
      <c r="Q10">
        <v>3.2309999999999999</v>
      </c>
      <c r="R10">
        <v>0</v>
      </c>
      <c r="S10">
        <v>1</v>
      </c>
    </row>
    <row r="11" spans="1:19">
      <c r="A11" t="s">
        <v>78</v>
      </c>
      <c r="B11" t="s">
        <v>64</v>
      </c>
      <c r="C11" t="s">
        <v>65</v>
      </c>
      <c r="D11">
        <v>5</v>
      </c>
      <c r="E11">
        <v>166.65</v>
      </c>
      <c r="F11">
        <f t="shared" si="0"/>
        <v>9.0009000900090008</v>
      </c>
      <c r="G11">
        <f t="shared" si="1"/>
        <v>2</v>
      </c>
      <c r="N11">
        <v>10</v>
      </c>
      <c r="O11">
        <v>0</v>
      </c>
      <c r="P11">
        <v>6.2729999999999997</v>
      </c>
      <c r="Q11">
        <v>3.7589999999999999</v>
      </c>
      <c r="R11">
        <v>0</v>
      </c>
      <c r="S11">
        <v>1</v>
      </c>
    </row>
    <row r="12" spans="1:19">
      <c r="A12" t="s">
        <v>79</v>
      </c>
      <c r="B12" t="s">
        <v>64</v>
      </c>
      <c r="C12" t="s">
        <v>65</v>
      </c>
      <c r="D12">
        <v>9</v>
      </c>
      <c r="E12">
        <v>165.535</v>
      </c>
      <c r="F12">
        <f t="shared" si="0"/>
        <v>16.310749992448727</v>
      </c>
      <c r="G12">
        <f t="shared" si="1"/>
        <v>3</v>
      </c>
      <c r="N12">
        <v>11</v>
      </c>
      <c r="O12">
        <v>0</v>
      </c>
      <c r="P12">
        <v>6.4109999999999996</v>
      </c>
      <c r="Q12">
        <v>4.1059999999999999</v>
      </c>
      <c r="R12">
        <v>0</v>
      </c>
      <c r="S12">
        <v>1</v>
      </c>
    </row>
    <row r="13" spans="1:19">
      <c r="A13" t="s">
        <v>80</v>
      </c>
      <c r="B13" t="s">
        <v>64</v>
      </c>
      <c r="C13" t="s">
        <v>65</v>
      </c>
      <c r="D13">
        <v>10</v>
      </c>
      <c r="E13">
        <v>163.44200000000001</v>
      </c>
      <c r="F13">
        <f t="shared" si="0"/>
        <v>18.355135154978523</v>
      </c>
      <c r="G13">
        <f t="shared" si="1"/>
        <v>4</v>
      </c>
      <c r="N13">
        <v>12</v>
      </c>
      <c r="O13">
        <v>0</v>
      </c>
      <c r="P13">
        <v>6.6340000000000003</v>
      </c>
      <c r="Q13">
        <v>4.2590000000000003</v>
      </c>
      <c r="R13">
        <v>0</v>
      </c>
      <c r="S13">
        <v>1</v>
      </c>
    </row>
    <row r="14" spans="1:19">
      <c r="A14" t="s">
        <v>81</v>
      </c>
      <c r="B14" t="s">
        <v>64</v>
      </c>
      <c r="C14" t="s">
        <v>65</v>
      </c>
      <c r="D14">
        <v>100</v>
      </c>
      <c r="E14">
        <v>300</v>
      </c>
      <c r="F14">
        <f t="shared" si="0"/>
        <v>100</v>
      </c>
      <c r="G14">
        <f t="shared" si="1"/>
        <v>34</v>
      </c>
      <c r="N14">
        <v>13</v>
      </c>
      <c r="O14">
        <v>0</v>
      </c>
      <c r="P14">
        <v>6.8419999999999996</v>
      </c>
      <c r="Q14">
        <v>3.5640000000000001</v>
      </c>
      <c r="R14">
        <v>0</v>
      </c>
      <c r="S14">
        <v>1</v>
      </c>
    </row>
    <row r="15" spans="1:19">
      <c r="A15" t="s">
        <v>82</v>
      </c>
      <c r="B15" t="s">
        <v>64</v>
      </c>
      <c r="C15" t="s">
        <v>65</v>
      </c>
      <c r="D15">
        <v>105</v>
      </c>
      <c r="E15">
        <v>300</v>
      </c>
      <c r="F15">
        <f t="shared" si="0"/>
        <v>105</v>
      </c>
      <c r="G15">
        <f t="shared" si="1"/>
        <v>35</v>
      </c>
      <c r="N15">
        <v>14</v>
      </c>
      <c r="O15">
        <v>0</v>
      </c>
      <c r="P15">
        <v>6.9950000000000001</v>
      </c>
      <c r="Q15">
        <v>3.286</v>
      </c>
      <c r="R15">
        <v>0</v>
      </c>
      <c r="S15">
        <v>1</v>
      </c>
    </row>
    <row r="16" spans="1:19">
      <c r="A16" t="s">
        <v>83</v>
      </c>
      <c r="B16" t="s">
        <v>64</v>
      </c>
      <c r="C16" t="s">
        <v>65</v>
      </c>
      <c r="D16">
        <v>65</v>
      </c>
      <c r="E16">
        <v>153.02600000000001</v>
      </c>
      <c r="F16">
        <f t="shared" si="0"/>
        <v>127.42932573549592</v>
      </c>
      <c r="G16">
        <f t="shared" si="1"/>
        <v>22</v>
      </c>
      <c r="N16">
        <v>15</v>
      </c>
      <c r="O16">
        <v>0</v>
      </c>
      <c r="P16">
        <v>7.1340000000000003</v>
      </c>
      <c r="Q16">
        <v>2.8980000000000001</v>
      </c>
      <c r="R16">
        <v>0</v>
      </c>
      <c r="S16">
        <v>1</v>
      </c>
    </row>
    <row r="17" spans="1:19">
      <c r="A17" t="s">
        <v>84</v>
      </c>
      <c r="B17" t="s">
        <v>64</v>
      </c>
      <c r="C17" t="s">
        <v>65</v>
      </c>
      <c r="D17">
        <v>35</v>
      </c>
      <c r="E17">
        <v>106.334</v>
      </c>
      <c r="F17">
        <f t="shared" si="0"/>
        <v>98.745462410893978</v>
      </c>
      <c r="G17">
        <f t="shared" si="1"/>
        <v>12</v>
      </c>
      <c r="N17">
        <v>16</v>
      </c>
      <c r="O17">
        <v>0</v>
      </c>
      <c r="P17">
        <v>7.3</v>
      </c>
      <c r="Q17">
        <v>3.12</v>
      </c>
      <c r="R17">
        <v>0</v>
      </c>
      <c r="S17">
        <v>1</v>
      </c>
    </row>
    <row r="18" spans="1:19">
      <c r="A18" t="s">
        <v>85</v>
      </c>
      <c r="B18" t="s">
        <v>64</v>
      </c>
      <c r="C18" t="s">
        <v>65</v>
      </c>
      <c r="D18">
        <v>35</v>
      </c>
      <c r="E18">
        <v>164.08799999999999</v>
      </c>
      <c r="F18">
        <f t="shared" si="0"/>
        <v>63.990054117302911</v>
      </c>
      <c r="G18">
        <f t="shared" si="1"/>
        <v>12</v>
      </c>
      <c r="N18">
        <v>17</v>
      </c>
      <c r="O18">
        <v>0</v>
      </c>
      <c r="P18">
        <v>7.6479999999999997</v>
      </c>
      <c r="Q18">
        <v>2.9249999999999998</v>
      </c>
      <c r="R18">
        <v>0</v>
      </c>
      <c r="S18">
        <v>1</v>
      </c>
    </row>
    <row r="19" spans="1:19">
      <c r="A19" t="s">
        <v>86</v>
      </c>
      <c r="B19" t="s">
        <v>64</v>
      </c>
      <c r="C19" t="s">
        <v>65</v>
      </c>
      <c r="D19">
        <v>23</v>
      </c>
      <c r="E19">
        <v>167.203</v>
      </c>
      <c r="F19">
        <f t="shared" si="0"/>
        <v>41.26720214350221</v>
      </c>
      <c r="G19">
        <f t="shared" si="1"/>
        <v>8</v>
      </c>
      <c r="N19">
        <v>18</v>
      </c>
      <c r="O19">
        <v>0</v>
      </c>
      <c r="P19">
        <v>8.1340000000000003</v>
      </c>
      <c r="Q19">
        <v>3.0230000000000001</v>
      </c>
      <c r="R19">
        <v>0</v>
      </c>
      <c r="S19">
        <v>1</v>
      </c>
    </row>
    <row r="20" spans="1:19">
      <c r="A20" t="s">
        <v>87</v>
      </c>
      <c r="B20" t="s">
        <v>64</v>
      </c>
      <c r="C20" t="s">
        <v>65</v>
      </c>
      <c r="D20">
        <v>4</v>
      </c>
      <c r="E20">
        <v>103.813</v>
      </c>
      <c r="F20">
        <f t="shared" si="0"/>
        <v>11.55924595185574</v>
      </c>
      <c r="G20">
        <f t="shared" si="1"/>
        <v>2</v>
      </c>
      <c r="N20">
        <v>19</v>
      </c>
      <c r="O20">
        <v>0</v>
      </c>
      <c r="P20">
        <v>8.1340000000000003</v>
      </c>
      <c r="Q20">
        <v>3.4390000000000001</v>
      </c>
      <c r="R20">
        <v>0</v>
      </c>
      <c r="S20">
        <v>1</v>
      </c>
    </row>
    <row r="21" spans="1:19">
      <c r="A21" t="s">
        <v>88</v>
      </c>
      <c r="B21" t="s">
        <v>64</v>
      </c>
      <c r="C21" t="s">
        <v>65</v>
      </c>
      <c r="D21">
        <v>10</v>
      </c>
      <c r="E21">
        <v>126.55500000000001</v>
      </c>
      <c r="F21">
        <f t="shared" si="0"/>
        <v>23.705108450871162</v>
      </c>
      <c r="G21">
        <f t="shared" si="1"/>
        <v>4</v>
      </c>
      <c r="N21">
        <v>20</v>
      </c>
      <c r="O21">
        <v>0</v>
      </c>
      <c r="P21">
        <v>8.5090000000000003</v>
      </c>
      <c r="Q21">
        <v>3.1480000000000001</v>
      </c>
      <c r="R21">
        <v>0</v>
      </c>
      <c r="S21">
        <v>1</v>
      </c>
    </row>
    <row r="22" spans="1:19">
      <c r="A22" t="s">
        <v>89</v>
      </c>
      <c r="B22" t="s">
        <v>64</v>
      </c>
      <c r="C22" t="s">
        <v>65</v>
      </c>
      <c r="D22">
        <v>10</v>
      </c>
      <c r="E22">
        <v>125.833</v>
      </c>
      <c r="F22">
        <f t="shared" si="0"/>
        <v>23.841122757941083</v>
      </c>
      <c r="G22">
        <f t="shared" si="1"/>
        <v>4</v>
      </c>
      <c r="N22">
        <v>21</v>
      </c>
      <c r="O22">
        <v>0</v>
      </c>
      <c r="P22">
        <v>8.5090000000000003</v>
      </c>
      <c r="Q22">
        <v>3.0089999999999999</v>
      </c>
      <c r="R22">
        <v>0</v>
      </c>
      <c r="S22">
        <v>1</v>
      </c>
    </row>
    <row r="23" spans="1:19">
      <c r="A23" t="s">
        <v>133</v>
      </c>
      <c r="B23" t="s">
        <v>64</v>
      </c>
      <c r="C23" t="s">
        <v>67</v>
      </c>
      <c r="D23">
        <v>85</v>
      </c>
      <c r="E23">
        <v>65.22</v>
      </c>
      <c r="F23">
        <f t="shared" si="0"/>
        <v>390.98436062557499</v>
      </c>
      <c r="G23">
        <f t="shared" si="1"/>
        <v>29</v>
      </c>
      <c r="N23">
        <v>22</v>
      </c>
      <c r="O23">
        <v>0</v>
      </c>
      <c r="P23">
        <v>8.6890000000000001</v>
      </c>
      <c r="Q23">
        <v>2.9249999999999998</v>
      </c>
      <c r="R23">
        <v>0</v>
      </c>
      <c r="S23">
        <v>1</v>
      </c>
    </row>
    <row r="24" spans="1:19">
      <c r="A24" t="s">
        <v>90</v>
      </c>
      <c r="B24" t="s">
        <v>64</v>
      </c>
      <c r="C24" t="s">
        <v>67</v>
      </c>
      <c r="D24">
        <v>60</v>
      </c>
      <c r="E24">
        <v>187.50299999999999</v>
      </c>
      <c r="F24">
        <f t="shared" si="0"/>
        <v>95.998464024575611</v>
      </c>
      <c r="G24">
        <f t="shared" si="1"/>
        <v>20</v>
      </c>
      <c r="N24">
        <v>23</v>
      </c>
      <c r="O24">
        <v>0</v>
      </c>
      <c r="P24">
        <v>8.8559999999999999</v>
      </c>
      <c r="Q24">
        <v>2.9529999999999998</v>
      </c>
      <c r="R24">
        <v>0</v>
      </c>
      <c r="S24">
        <v>1</v>
      </c>
    </row>
    <row r="25" spans="1:19">
      <c r="A25" t="s">
        <v>91</v>
      </c>
      <c r="B25" t="s">
        <v>64</v>
      </c>
      <c r="C25" t="s">
        <v>67</v>
      </c>
      <c r="D25">
        <v>120</v>
      </c>
      <c r="E25">
        <v>300</v>
      </c>
      <c r="F25">
        <f t="shared" si="0"/>
        <v>120</v>
      </c>
      <c r="G25">
        <f t="shared" si="1"/>
        <v>40</v>
      </c>
      <c r="N25">
        <v>24</v>
      </c>
      <c r="O25">
        <v>0</v>
      </c>
      <c r="P25">
        <v>8.5500000000000007</v>
      </c>
      <c r="Q25">
        <v>3.8559999999999999</v>
      </c>
      <c r="R25">
        <v>0</v>
      </c>
      <c r="S25">
        <v>1</v>
      </c>
    </row>
    <row r="26" spans="1:19">
      <c r="A26" t="s">
        <v>92</v>
      </c>
      <c r="B26" t="s">
        <v>64</v>
      </c>
      <c r="C26" t="s">
        <v>67</v>
      </c>
      <c r="D26">
        <v>90</v>
      </c>
      <c r="E26">
        <v>300</v>
      </c>
      <c r="F26">
        <f t="shared" si="0"/>
        <v>90</v>
      </c>
      <c r="G26">
        <f t="shared" si="1"/>
        <v>30</v>
      </c>
      <c r="N26">
        <v>25</v>
      </c>
      <c r="O26">
        <v>0</v>
      </c>
      <c r="P26">
        <v>8.7309999999999999</v>
      </c>
      <c r="Q26">
        <v>3.9950000000000001</v>
      </c>
      <c r="R26">
        <v>0</v>
      </c>
      <c r="S26">
        <v>1</v>
      </c>
    </row>
    <row r="27" spans="1:19">
      <c r="A27" t="s">
        <v>93</v>
      </c>
      <c r="B27" t="s">
        <v>64</v>
      </c>
      <c r="C27" t="s">
        <v>67</v>
      </c>
      <c r="D27">
        <v>40</v>
      </c>
      <c r="E27">
        <v>300</v>
      </c>
      <c r="F27">
        <f t="shared" si="0"/>
        <v>40</v>
      </c>
      <c r="G27">
        <f t="shared" si="1"/>
        <v>14</v>
      </c>
      <c r="N27">
        <v>26</v>
      </c>
      <c r="O27">
        <v>0</v>
      </c>
      <c r="P27">
        <v>9.1890000000000001</v>
      </c>
      <c r="Q27">
        <v>3.8559999999999999</v>
      </c>
      <c r="R27">
        <v>0</v>
      </c>
      <c r="S27">
        <v>1</v>
      </c>
    </row>
    <row r="28" spans="1:19">
      <c r="A28" t="s">
        <v>94</v>
      </c>
      <c r="B28" t="s">
        <v>64</v>
      </c>
      <c r="C28" t="s">
        <v>67</v>
      </c>
      <c r="D28">
        <v>80</v>
      </c>
      <c r="E28">
        <v>300</v>
      </c>
      <c r="F28">
        <f t="shared" si="0"/>
        <v>80</v>
      </c>
      <c r="G28">
        <f t="shared" si="1"/>
        <v>27</v>
      </c>
      <c r="N28">
        <v>27</v>
      </c>
      <c r="O28">
        <v>0</v>
      </c>
      <c r="P28">
        <v>9.8979999999999997</v>
      </c>
      <c r="Q28">
        <v>3.3140000000000001</v>
      </c>
      <c r="R28">
        <v>0</v>
      </c>
      <c r="S28">
        <v>1</v>
      </c>
    </row>
    <row r="29" spans="1:19">
      <c r="A29" t="s">
        <v>95</v>
      </c>
      <c r="B29" t="s">
        <v>64</v>
      </c>
      <c r="C29" t="s">
        <v>67</v>
      </c>
      <c r="D29">
        <v>60</v>
      </c>
      <c r="E29">
        <v>300</v>
      </c>
      <c r="F29">
        <f t="shared" si="0"/>
        <v>60</v>
      </c>
      <c r="G29">
        <f t="shared" si="1"/>
        <v>20</v>
      </c>
      <c r="N29">
        <v>28</v>
      </c>
      <c r="O29">
        <v>0</v>
      </c>
      <c r="P29">
        <v>9.9949999999999992</v>
      </c>
      <c r="Q29">
        <v>2.9529999999999998</v>
      </c>
      <c r="R29">
        <v>0</v>
      </c>
      <c r="S29">
        <v>1</v>
      </c>
    </row>
    <row r="30" spans="1:19">
      <c r="A30" t="s">
        <v>96</v>
      </c>
      <c r="B30" t="s">
        <v>64</v>
      </c>
      <c r="C30" t="s">
        <v>67</v>
      </c>
      <c r="D30">
        <v>80</v>
      </c>
      <c r="E30">
        <v>300</v>
      </c>
      <c r="F30">
        <f t="shared" si="0"/>
        <v>80</v>
      </c>
      <c r="G30">
        <f t="shared" si="1"/>
        <v>27</v>
      </c>
      <c r="N30">
        <v>29</v>
      </c>
      <c r="O30">
        <v>0</v>
      </c>
      <c r="P30">
        <v>10.564</v>
      </c>
      <c r="Q30">
        <v>3.2730000000000001</v>
      </c>
      <c r="R30">
        <v>0</v>
      </c>
      <c r="S30">
        <v>1</v>
      </c>
    </row>
    <row r="31" spans="1:19">
      <c r="A31" t="s">
        <v>97</v>
      </c>
      <c r="B31" t="s">
        <v>64</v>
      </c>
      <c r="C31" t="s">
        <v>67</v>
      </c>
      <c r="D31">
        <v>350</v>
      </c>
      <c r="E31">
        <v>300</v>
      </c>
      <c r="F31">
        <f t="shared" si="0"/>
        <v>350</v>
      </c>
      <c r="G31">
        <f t="shared" si="1"/>
        <v>117</v>
      </c>
      <c r="N31">
        <v>30</v>
      </c>
      <c r="O31">
        <v>0</v>
      </c>
      <c r="P31">
        <v>10.717000000000001</v>
      </c>
      <c r="Q31">
        <v>3.2309999999999999</v>
      </c>
      <c r="R31">
        <v>0</v>
      </c>
      <c r="S31">
        <v>1</v>
      </c>
    </row>
    <row r="32" spans="1:19">
      <c r="A32" t="s">
        <v>98</v>
      </c>
      <c r="B32" t="s">
        <v>64</v>
      </c>
      <c r="C32" t="s">
        <v>67</v>
      </c>
      <c r="D32">
        <v>225</v>
      </c>
      <c r="E32">
        <v>300</v>
      </c>
      <c r="F32">
        <f t="shared" si="0"/>
        <v>225</v>
      </c>
      <c r="G32">
        <f t="shared" si="1"/>
        <v>75</v>
      </c>
      <c r="N32">
        <v>31</v>
      </c>
      <c r="O32">
        <v>0</v>
      </c>
      <c r="P32">
        <v>11.327999999999999</v>
      </c>
      <c r="Q32">
        <v>2.9529999999999998</v>
      </c>
      <c r="R32">
        <v>0</v>
      </c>
      <c r="S32">
        <v>1</v>
      </c>
    </row>
    <row r="33" spans="1:19">
      <c r="A33" t="s">
        <v>99</v>
      </c>
      <c r="B33" t="s">
        <v>64</v>
      </c>
      <c r="C33" t="s">
        <v>67</v>
      </c>
      <c r="D33">
        <v>35</v>
      </c>
      <c r="E33">
        <v>300</v>
      </c>
      <c r="F33">
        <f t="shared" si="0"/>
        <v>35</v>
      </c>
      <c r="G33">
        <f t="shared" si="1"/>
        <v>12</v>
      </c>
      <c r="N33">
        <v>32</v>
      </c>
      <c r="O33">
        <v>0</v>
      </c>
      <c r="P33">
        <v>11.286</v>
      </c>
      <c r="Q33">
        <v>3.2589999999999999</v>
      </c>
      <c r="R33">
        <v>0</v>
      </c>
      <c r="S33">
        <v>1</v>
      </c>
    </row>
    <row r="34" spans="1:19">
      <c r="A34" t="s">
        <v>100</v>
      </c>
      <c r="B34" t="s">
        <v>64</v>
      </c>
      <c r="C34" t="s">
        <v>67</v>
      </c>
      <c r="D34">
        <v>140</v>
      </c>
      <c r="E34">
        <v>300</v>
      </c>
      <c r="F34">
        <f t="shared" si="0"/>
        <v>140</v>
      </c>
      <c r="G34">
        <f t="shared" si="1"/>
        <v>47</v>
      </c>
      <c r="N34">
        <v>33</v>
      </c>
      <c r="O34">
        <v>0</v>
      </c>
      <c r="P34">
        <v>11.523</v>
      </c>
      <c r="Q34">
        <v>3.3839999999999999</v>
      </c>
      <c r="R34">
        <v>0</v>
      </c>
      <c r="S34">
        <v>1</v>
      </c>
    </row>
    <row r="35" spans="1:19">
      <c r="A35" t="s">
        <v>101</v>
      </c>
      <c r="B35" t="s">
        <v>64</v>
      </c>
      <c r="C35" t="s">
        <v>67</v>
      </c>
      <c r="D35">
        <v>90</v>
      </c>
      <c r="E35">
        <v>300</v>
      </c>
      <c r="F35">
        <f t="shared" si="0"/>
        <v>90</v>
      </c>
      <c r="G35">
        <f t="shared" si="1"/>
        <v>30</v>
      </c>
      <c r="N35">
        <v>34</v>
      </c>
      <c r="O35">
        <v>0</v>
      </c>
      <c r="P35">
        <v>11.314</v>
      </c>
      <c r="Q35">
        <v>3.7170000000000001</v>
      </c>
      <c r="R35">
        <v>0</v>
      </c>
      <c r="S35">
        <v>1</v>
      </c>
    </row>
    <row r="36" spans="1:19">
      <c r="A36" t="s">
        <v>102</v>
      </c>
      <c r="B36" t="s">
        <v>64</v>
      </c>
      <c r="C36" t="s">
        <v>67</v>
      </c>
      <c r="D36">
        <v>100</v>
      </c>
      <c r="E36">
        <v>300</v>
      </c>
      <c r="F36">
        <f t="shared" si="0"/>
        <v>100</v>
      </c>
      <c r="G36">
        <f t="shared" si="1"/>
        <v>34</v>
      </c>
      <c r="N36">
        <v>35</v>
      </c>
      <c r="O36">
        <v>0</v>
      </c>
      <c r="P36">
        <v>10.925000000000001</v>
      </c>
      <c r="Q36">
        <v>3.8839999999999999</v>
      </c>
      <c r="R36">
        <v>0</v>
      </c>
      <c r="S36">
        <v>1</v>
      </c>
    </row>
    <row r="37" spans="1:19">
      <c r="A37" t="s">
        <v>103</v>
      </c>
      <c r="B37" t="s">
        <v>64</v>
      </c>
      <c r="C37" t="s">
        <v>67</v>
      </c>
      <c r="D37">
        <v>125</v>
      </c>
      <c r="E37">
        <v>300</v>
      </c>
      <c r="F37">
        <f t="shared" si="0"/>
        <v>125</v>
      </c>
      <c r="G37">
        <f t="shared" si="1"/>
        <v>42</v>
      </c>
      <c r="N37">
        <v>36</v>
      </c>
      <c r="O37">
        <v>0</v>
      </c>
      <c r="P37">
        <v>10.119999999999999</v>
      </c>
      <c r="Q37">
        <v>4.0640000000000001</v>
      </c>
      <c r="R37">
        <v>0</v>
      </c>
      <c r="S37">
        <v>1</v>
      </c>
    </row>
    <row r="38" spans="1:19">
      <c r="A38" t="s">
        <v>104</v>
      </c>
      <c r="B38" t="s">
        <v>64</v>
      </c>
      <c r="C38" t="s">
        <v>67</v>
      </c>
      <c r="D38">
        <v>235</v>
      </c>
      <c r="E38">
        <v>300</v>
      </c>
      <c r="F38">
        <f t="shared" si="0"/>
        <v>235</v>
      </c>
      <c r="G38">
        <f t="shared" si="1"/>
        <v>79</v>
      </c>
      <c r="N38">
        <v>37</v>
      </c>
      <c r="O38">
        <v>0</v>
      </c>
      <c r="P38">
        <v>10.259</v>
      </c>
      <c r="Q38">
        <v>4.3280000000000003</v>
      </c>
      <c r="R38">
        <v>0</v>
      </c>
      <c r="S38">
        <v>1</v>
      </c>
    </row>
    <row r="39" spans="1:19">
      <c r="A39" t="s">
        <v>105</v>
      </c>
      <c r="B39" t="s">
        <v>64</v>
      </c>
      <c r="C39" t="s">
        <v>67</v>
      </c>
      <c r="D39">
        <v>135</v>
      </c>
      <c r="E39">
        <v>300</v>
      </c>
      <c r="F39">
        <f t="shared" si="0"/>
        <v>135</v>
      </c>
      <c r="G39">
        <f t="shared" si="1"/>
        <v>45</v>
      </c>
      <c r="N39">
        <v>38</v>
      </c>
      <c r="O39">
        <v>0</v>
      </c>
      <c r="P39">
        <v>9.8420000000000005</v>
      </c>
      <c r="Q39">
        <v>4.5090000000000003</v>
      </c>
      <c r="R39">
        <v>0</v>
      </c>
      <c r="S39">
        <v>1</v>
      </c>
    </row>
    <row r="40" spans="1:19">
      <c r="A40" t="s">
        <v>106</v>
      </c>
      <c r="B40" t="s">
        <v>64</v>
      </c>
      <c r="C40" t="s">
        <v>67</v>
      </c>
      <c r="D40">
        <v>75</v>
      </c>
      <c r="E40">
        <v>300</v>
      </c>
      <c r="F40">
        <f t="shared" si="0"/>
        <v>75</v>
      </c>
      <c r="G40">
        <f t="shared" si="1"/>
        <v>25</v>
      </c>
      <c r="N40">
        <v>39</v>
      </c>
      <c r="O40">
        <v>0</v>
      </c>
      <c r="P40">
        <v>9.5920000000000005</v>
      </c>
      <c r="Q40">
        <v>4.8840000000000003</v>
      </c>
      <c r="R40">
        <v>0</v>
      </c>
      <c r="S40">
        <v>1</v>
      </c>
    </row>
    <row r="41" spans="1:19">
      <c r="A41" t="s">
        <v>107</v>
      </c>
      <c r="B41" t="s">
        <v>64</v>
      </c>
      <c r="C41" t="s">
        <v>67</v>
      </c>
      <c r="D41">
        <v>70</v>
      </c>
      <c r="E41">
        <v>300</v>
      </c>
      <c r="F41">
        <f t="shared" si="0"/>
        <v>70</v>
      </c>
      <c r="G41">
        <f t="shared" si="1"/>
        <v>24</v>
      </c>
      <c r="N41">
        <v>40</v>
      </c>
      <c r="O41">
        <v>0</v>
      </c>
      <c r="P41">
        <v>9.7859999999999996</v>
      </c>
      <c r="Q41">
        <v>4.9390000000000001</v>
      </c>
      <c r="R41">
        <v>0</v>
      </c>
      <c r="S41">
        <v>1</v>
      </c>
    </row>
    <row r="42" spans="1:19">
      <c r="A42" t="s">
        <v>108</v>
      </c>
      <c r="B42" t="s">
        <v>64</v>
      </c>
      <c r="C42" t="s">
        <v>67</v>
      </c>
      <c r="D42">
        <v>65</v>
      </c>
      <c r="E42">
        <v>300</v>
      </c>
      <c r="F42">
        <f t="shared" si="0"/>
        <v>65</v>
      </c>
      <c r="G42">
        <f t="shared" si="1"/>
        <v>22</v>
      </c>
      <c r="N42">
        <v>41</v>
      </c>
      <c r="O42">
        <v>0</v>
      </c>
      <c r="P42">
        <v>10.092000000000001</v>
      </c>
      <c r="Q42">
        <v>4.7309999999999999</v>
      </c>
      <c r="R42">
        <v>0</v>
      </c>
      <c r="S42">
        <v>1</v>
      </c>
    </row>
    <row r="43" spans="1:19">
      <c r="A43" t="s">
        <v>109</v>
      </c>
      <c r="B43" t="s">
        <v>64</v>
      </c>
      <c r="C43" t="s">
        <v>67</v>
      </c>
      <c r="D43">
        <v>35</v>
      </c>
      <c r="E43">
        <v>300</v>
      </c>
      <c r="F43">
        <f t="shared" si="0"/>
        <v>35</v>
      </c>
      <c r="G43">
        <f t="shared" si="1"/>
        <v>12</v>
      </c>
      <c r="N43">
        <v>42</v>
      </c>
      <c r="O43">
        <v>0</v>
      </c>
      <c r="P43">
        <v>9.5920000000000005</v>
      </c>
      <c r="Q43">
        <v>5.2590000000000003</v>
      </c>
      <c r="R43">
        <v>0</v>
      </c>
      <c r="S43">
        <v>1</v>
      </c>
    </row>
    <row r="44" spans="1:19">
      <c r="A44" t="s">
        <v>110</v>
      </c>
      <c r="B44" t="s">
        <v>64</v>
      </c>
      <c r="C44" t="s">
        <v>67</v>
      </c>
      <c r="G44">
        <f t="shared" si="1"/>
        <v>0</v>
      </c>
      <c r="N44">
        <v>43</v>
      </c>
      <c r="O44">
        <v>0</v>
      </c>
      <c r="P44">
        <v>9.9949999999999992</v>
      </c>
      <c r="Q44">
        <v>5.1609999999999996</v>
      </c>
      <c r="R44">
        <v>0</v>
      </c>
      <c r="S44">
        <v>1</v>
      </c>
    </row>
    <row r="45" spans="1:19">
      <c r="A45" t="s">
        <v>111</v>
      </c>
      <c r="B45" t="s">
        <v>66</v>
      </c>
      <c r="C45" t="s">
        <v>65</v>
      </c>
      <c r="G45">
        <f t="shared" si="1"/>
        <v>0</v>
      </c>
      <c r="N45">
        <v>44</v>
      </c>
      <c r="O45">
        <v>0</v>
      </c>
      <c r="P45">
        <v>10.744999999999999</v>
      </c>
      <c r="Q45">
        <v>5.1609999999999996</v>
      </c>
      <c r="R45">
        <v>0</v>
      </c>
      <c r="S45">
        <v>1</v>
      </c>
    </row>
    <row r="46" spans="1:19">
      <c r="A46" t="s">
        <v>112</v>
      </c>
      <c r="B46" t="s">
        <v>66</v>
      </c>
      <c r="C46" t="s">
        <v>65</v>
      </c>
      <c r="D46">
        <v>75</v>
      </c>
      <c r="E46">
        <v>42.802</v>
      </c>
      <c r="F46">
        <f t="shared" si="0"/>
        <v>525.67637026307182</v>
      </c>
      <c r="G46">
        <f t="shared" si="1"/>
        <v>25</v>
      </c>
      <c r="N46">
        <v>45</v>
      </c>
      <c r="O46">
        <v>0</v>
      </c>
      <c r="P46">
        <v>10.827999999999999</v>
      </c>
      <c r="Q46">
        <v>4.5090000000000003</v>
      </c>
      <c r="R46">
        <v>0</v>
      </c>
      <c r="S46">
        <v>1</v>
      </c>
    </row>
    <row r="47" spans="1:19">
      <c r="A47" t="s">
        <v>113</v>
      </c>
      <c r="B47" t="s">
        <v>66</v>
      </c>
      <c r="C47" t="s">
        <v>65</v>
      </c>
      <c r="D47">
        <v>88</v>
      </c>
      <c r="E47">
        <v>133.08099999999999</v>
      </c>
      <c r="F47">
        <f t="shared" si="0"/>
        <v>198.37542549274502</v>
      </c>
      <c r="G47">
        <f t="shared" si="1"/>
        <v>30</v>
      </c>
      <c r="N47">
        <v>46</v>
      </c>
      <c r="O47">
        <v>0</v>
      </c>
      <c r="P47">
        <v>11.494999999999999</v>
      </c>
      <c r="Q47">
        <v>4.5090000000000003</v>
      </c>
      <c r="R47">
        <v>0</v>
      </c>
      <c r="S47">
        <v>1</v>
      </c>
    </row>
    <row r="48" spans="1:19">
      <c r="A48" t="s">
        <v>114</v>
      </c>
      <c r="B48" t="s">
        <v>66</v>
      </c>
      <c r="C48" t="s">
        <v>65</v>
      </c>
      <c r="D48">
        <v>350</v>
      </c>
      <c r="E48">
        <v>300</v>
      </c>
      <c r="F48">
        <f t="shared" si="0"/>
        <v>350</v>
      </c>
      <c r="G48">
        <f t="shared" si="1"/>
        <v>117</v>
      </c>
      <c r="N48">
        <v>47</v>
      </c>
      <c r="O48">
        <v>0</v>
      </c>
      <c r="P48">
        <v>11.856</v>
      </c>
      <c r="Q48">
        <v>4.5229999999999997</v>
      </c>
      <c r="R48">
        <v>0</v>
      </c>
      <c r="S48">
        <v>1</v>
      </c>
    </row>
    <row r="49" spans="1:19">
      <c r="A49" t="s">
        <v>115</v>
      </c>
      <c r="B49" t="s">
        <v>66</v>
      </c>
      <c r="C49" t="s">
        <v>65</v>
      </c>
      <c r="D49">
        <v>200</v>
      </c>
      <c r="E49">
        <v>300</v>
      </c>
      <c r="F49">
        <f t="shared" si="0"/>
        <v>200</v>
      </c>
      <c r="G49">
        <f t="shared" si="1"/>
        <v>67</v>
      </c>
      <c r="N49">
        <v>48</v>
      </c>
      <c r="O49">
        <v>0</v>
      </c>
      <c r="P49">
        <v>11.731</v>
      </c>
      <c r="Q49">
        <v>4.7729999999999997</v>
      </c>
      <c r="R49">
        <v>0</v>
      </c>
      <c r="S49">
        <v>1</v>
      </c>
    </row>
    <row r="50" spans="1:19">
      <c r="A50" t="s">
        <v>116</v>
      </c>
      <c r="B50" t="s">
        <v>66</v>
      </c>
      <c r="C50" t="s">
        <v>65</v>
      </c>
      <c r="D50">
        <v>165</v>
      </c>
      <c r="E50">
        <v>144.203</v>
      </c>
      <c r="F50">
        <f t="shared" si="0"/>
        <v>343.26609016455967</v>
      </c>
      <c r="G50">
        <f t="shared" si="1"/>
        <v>55</v>
      </c>
      <c r="N50">
        <v>49</v>
      </c>
      <c r="O50">
        <v>0</v>
      </c>
      <c r="P50">
        <v>12.189</v>
      </c>
      <c r="Q50">
        <v>4.7729999999999997</v>
      </c>
      <c r="R50">
        <v>0</v>
      </c>
      <c r="S50">
        <v>1</v>
      </c>
    </row>
    <row r="51" spans="1:19">
      <c r="A51" t="s">
        <v>117</v>
      </c>
      <c r="B51" t="s">
        <v>66</v>
      </c>
      <c r="C51" t="s">
        <v>65</v>
      </c>
      <c r="D51">
        <v>320</v>
      </c>
      <c r="E51">
        <v>123.238</v>
      </c>
      <c r="F51">
        <f t="shared" si="0"/>
        <v>778.98050925850794</v>
      </c>
      <c r="G51">
        <f t="shared" si="1"/>
        <v>107</v>
      </c>
      <c r="N51">
        <v>50</v>
      </c>
      <c r="O51">
        <v>0</v>
      </c>
      <c r="P51">
        <v>12.231</v>
      </c>
      <c r="Q51">
        <v>5.2309999999999999</v>
      </c>
      <c r="R51">
        <v>0</v>
      </c>
      <c r="S51">
        <v>1</v>
      </c>
    </row>
    <row r="52" spans="1:19">
      <c r="A52" t="s">
        <v>118</v>
      </c>
      <c r="B52" t="s">
        <v>66</v>
      </c>
      <c r="C52" t="s">
        <v>65</v>
      </c>
      <c r="D52">
        <v>170</v>
      </c>
      <c r="E52">
        <v>147.02799999999999</v>
      </c>
      <c r="F52">
        <f t="shared" si="0"/>
        <v>346.87270451886718</v>
      </c>
      <c r="G52">
        <f t="shared" si="1"/>
        <v>57</v>
      </c>
      <c r="N52">
        <v>51</v>
      </c>
      <c r="O52">
        <v>0</v>
      </c>
      <c r="P52">
        <v>12.398</v>
      </c>
      <c r="Q52">
        <v>5.4109999999999996</v>
      </c>
      <c r="R52">
        <v>0</v>
      </c>
      <c r="S52">
        <v>1</v>
      </c>
    </row>
    <row r="53" spans="1:19">
      <c r="A53" t="s">
        <v>119</v>
      </c>
      <c r="B53" t="s">
        <v>66</v>
      </c>
      <c r="C53" t="s">
        <v>65</v>
      </c>
      <c r="G53">
        <f t="shared" si="1"/>
        <v>0</v>
      </c>
      <c r="N53">
        <v>52</v>
      </c>
      <c r="O53">
        <v>0</v>
      </c>
      <c r="P53">
        <v>12.717000000000001</v>
      </c>
      <c r="Q53">
        <v>5.2450000000000001</v>
      </c>
      <c r="R53">
        <v>0</v>
      </c>
      <c r="S53">
        <v>1</v>
      </c>
    </row>
    <row r="54" spans="1:19">
      <c r="A54" t="s">
        <v>120</v>
      </c>
      <c r="B54" t="s">
        <v>66</v>
      </c>
      <c r="C54" t="s">
        <v>65</v>
      </c>
      <c r="D54">
        <v>180</v>
      </c>
      <c r="E54">
        <v>170.65700000000001</v>
      </c>
      <c r="F54">
        <f t="shared" si="0"/>
        <v>316.42417246289341</v>
      </c>
      <c r="G54">
        <f t="shared" si="1"/>
        <v>60</v>
      </c>
      <c r="N54">
        <v>53</v>
      </c>
      <c r="O54">
        <v>0</v>
      </c>
      <c r="P54">
        <v>12.911</v>
      </c>
      <c r="Q54">
        <v>4.9950000000000001</v>
      </c>
      <c r="R54">
        <v>0</v>
      </c>
      <c r="S54">
        <v>1</v>
      </c>
    </row>
    <row r="55" spans="1:19">
      <c r="A55" t="s">
        <v>121</v>
      </c>
      <c r="B55" t="s">
        <v>66</v>
      </c>
      <c r="C55" t="s">
        <v>65</v>
      </c>
      <c r="D55">
        <v>135</v>
      </c>
      <c r="E55">
        <v>119.383</v>
      </c>
      <c r="F55">
        <f t="shared" si="0"/>
        <v>339.24428101153433</v>
      </c>
      <c r="G55">
        <f t="shared" si="1"/>
        <v>45</v>
      </c>
      <c r="N55">
        <v>54</v>
      </c>
      <c r="O55">
        <v>0</v>
      </c>
      <c r="P55">
        <v>12.648</v>
      </c>
      <c r="Q55">
        <v>4.8979999999999997</v>
      </c>
      <c r="R55">
        <v>0</v>
      </c>
      <c r="S55">
        <v>1</v>
      </c>
    </row>
    <row r="56" spans="1:19">
      <c r="A56" t="s">
        <v>122</v>
      </c>
      <c r="B56" t="s">
        <v>66</v>
      </c>
      <c r="C56" t="s">
        <v>65</v>
      </c>
      <c r="D56">
        <v>110</v>
      </c>
      <c r="E56">
        <v>146.04</v>
      </c>
      <c r="F56">
        <f t="shared" si="0"/>
        <v>225.96548890714874</v>
      </c>
      <c r="G56">
        <f t="shared" si="1"/>
        <v>37</v>
      </c>
      <c r="N56">
        <v>55</v>
      </c>
      <c r="O56">
        <v>0</v>
      </c>
      <c r="P56">
        <v>12.634</v>
      </c>
      <c r="Q56">
        <v>4.6340000000000003</v>
      </c>
      <c r="R56">
        <v>0</v>
      </c>
      <c r="S56">
        <v>1</v>
      </c>
    </row>
    <row r="57" spans="1:19">
      <c r="A57" t="s">
        <v>123</v>
      </c>
      <c r="B57" t="s">
        <v>66</v>
      </c>
      <c r="C57" t="s">
        <v>67</v>
      </c>
      <c r="D57">
        <v>0</v>
      </c>
      <c r="E57">
        <v>300</v>
      </c>
      <c r="F57">
        <f t="shared" si="0"/>
        <v>0</v>
      </c>
      <c r="G57">
        <f t="shared" si="1"/>
        <v>0</v>
      </c>
      <c r="N57">
        <v>56</v>
      </c>
      <c r="O57">
        <v>0</v>
      </c>
      <c r="P57">
        <v>12.398</v>
      </c>
      <c r="Q57">
        <v>3.62</v>
      </c>
      <c r="R57">
        <v>0</v>
      </c>
      <c r="S57">
        <v>1</v>
      </c>
    </row>
    <row r="58" spans="1:19">
      <c r="A58" t="s">
        <v>124</v>
      </c>
      <c r="B58" t="s">
        <v>66</v>
      </c>
      <c r="C58" t="s">
        <v>67</v>
      </c>
      <c r="D58">
        <v>65</v>
      </c>
      <c r="E58">
        <v>300</v>
      </c>
      <c r="F58">
        <f t="shared" si="0"/>
        <v>65</v>
      </c>
      <c r="G58">
        <f t="shared" si="1"/>
        <v>22</v>
      </c>
      <c r="N58">
        <v>57</v>
      </c>
      <c r="O58">
        <v>0</v>
      </c>
      <c r="P58">
        <v>12.702999999999999</v>
      </c>
      <c r="Q58">
        <v>3.8559999999999999</v>
      </c>
      <c r="R58">
        <v>0</v>
      </c>
      <c r="S58">
        <v>1</v>
      </c>
    </row>
    <row r="59" spans="1:19">
      <c r="A59" t="s">
        <v>125</v>
      </c>
      <c r="B59" t="s">
        <v>66</v>
      </c>
      <c r="C59" t="s">
        <v>67</v>
      </c>
      <c r="D59">
        <v>63</v>
      </c>
      <c r="E59">
        <v>300</v>
      </c>
      <c r="F59">
        <f t="shared" si="0"/>
        <v>63</v>
      </c>
      <c r="G59">
        <f t="shared" si="1"/>
        <v>21</v>
      </c>
      <c r="N59">
        <v>58</v>
      </c>
      <c r="O59">
        <v>0</v>
      </c>
      <c r="P59">
        <v>13.273</v>
      </c>
      <c r="Q59">
        <v>3.9390000000000001</v>
      </c>
      <c r="R59">
        <v>0</v>
      </c>
      <c r="S59">
        <v>1</v>
      </c>
    </row>
    <row r="60" spans="1:19">
      <c r="A60" t="s">
        <v>126</v>
      </c>
      <c r="B60" t="s">
        <v>66</v>
      </c>
      <c r="C60" t="s">
        <v>67</v>
      </c>
      <c r="D60">
        <v>70</v>
      </c>
      <c r="E60">
        <v>300</v>
      </c>
      <c r="F60">
        <f t="shared" si="0"/>
        <v>70</v>
      </c>
      <c r="G60">
        <f t="shared" si="1"/>
        <v>24</v>
      </c>
      <c r="N60">
        <v>59</v>
      </c>
      <c r="O60">
        <v>0</v>
      </c>
      <c r="P60">
        <v>13.536</v>
      </c>
      <c r="Q60">
        <v>3.9670000000000001</v>
      </c>
      <c r="R60">
        <v>0</v>
      </c>
      <c r="S60">
        <v>1</v>
      </c>
    </row>
    <row r="61" spans="1:19">
      <c r="A61" t="s">
        <v>127</v>
      </c>
      <c r="B61" t="s">
        <v>66</v>
      </c>
      <c r="C61" t="s">
        <v>67</v>
      </c>
      <c r="D61">
        <v>125</v>
      </c>
      <c r="E61">
        <v>300</v>
      </c>
      <c r="F61">
        <f t="shared" si="0"/>
        <v>125</v>
      </c>
      <c r="G61">
        <f t="shared" si="1"/>
        <v>42</v>
      </c>
      <c r="N61">
        <v>60</v>
      </c>
      <c r="O61">
        <v>0</v>
      </c>
      <c r="P61">
        <v>13.731</v>
      </c>
      <c r="Q61">
        <v>4.1609999999999996</v>
      </c>
      <c r="R61">
        <v>0</v>
      </c>
      <c r="S61">
        <v>1</v>
      </c>
    </row>
    <row r="62" spans="1:19">
      <c r="A62" t="s">
        <v>128</v>
      </c>
      <c r="B62" t="s">
        <v>66</v>
      </c>
      <c r="C62" t="s">
        <v>67</v>
      </c>
      <c r="D62">
        <v>20</v>
      </c>
      <c r="E62">
        <v>300</v>
      </c>
      <c r="F62">
        <f t="shared" si="0"/>
        <v>20</v>
      </c>
      <c r="G62">
        <f t="shared" si="1"/>
        <v>7</v>
      </c>
      <c r="N62">
        <v>61</v>
      </c>
      <c r="O62">
        <v>0</v>
      </c>
      <c r="P62">
        <v>14.009</v>
      </c>
      <c r="Q62">
        <v>4.5780000000000003</v>
      </c>
      <c r="R62">
        <v>0</v>
      </c>
      <c r="S62">
        <v>1</v>
      </c>
    </row>
    <row r="63" spans="1:19">
      <c r="A63" t="s">
        <v>129</v>
      </c>
      <c r="B63" t="s">
        <v>66</v>
      </c>
      <c r="C63" t="s">
        <v>67</v>
      </c>
      <c r="D63">
        <v>20</v>
      </c>
      <c r="E63">
        <v>300</v>
      </c>
      <c r="F63">
        <f t="shared" si="0"/>
        <v>20</v>
      </c>
      <c r="G63">
        <f t="shared" si="1"/>
        <v>7</v>
      </c>
      <c r="N63">
        <v>62</v>
      </c>
      <c r="O63">
        <v>0</v>
      </c>
      <c r="P63">
        <v>13.702999999999999</v>
      </c>
      <c r="Q63">
        <v>4.6340000000000003</v>
      </c>
      <c r="R63">
        <v>0</v>
      </c>
      <c r="S63">
        <v>1</v>
      </c>
    </row>
    <row r="64" spans="1:19">
      <c r="A64" t="s">
        <v>130</v>
      </c>
      <c r="B64" t="s">
        <v>66</v>
      </c>
      <c r="C64" t="s">
        <v>67</v>
      </c>
      <c r="D64">
        <v>70</v>
      </c>
      <c r="E64">
        <v>300</v>
      </c>
      <c r="F64">
        <f t="shared" si="0"/>
        <v>70</v>
      </c>
      <c r="G64">
        <f t="shared" si="1"/>
        <v>24</v>
      </c>
      <c r="N64">
        <v>63</v>
      </c>
      <c r="O64">
        <v>0</v>
      </c>
      <c r="P64">
        <v>8.7449999999999992</v>
      </c>
      <c r="Q64">
        <v>4.62</v>
      </c>
      <c r="R64">
        <v>0</v>
      </c>
      <c r="S64">
        <v>1</v>
      </c>
    </row>
    <row r="65" spans="14:19">
      <c r="N65">
        <v>64</v>
      </c>
      <c r="O65">
        <v>0</v>
      </c>
      <c r="P65">
        <v>8.8279999999999994</v>
      </c>
      <c r="Q65">
        <v>4.8559999999999999</v>
      </c>
      <c r="R65">
        <v>0</v>
      </c>
      <c r="S65">
        <v>1</v>
      </c>
    </row>
    <row r="66" spans="14:19">
      <c r="N66">
        <v>65</v>
      </c>
      <c r="O66">
        <v>0</v>
      </c>
      <c r="P66">
        <v>8.2170000000000005</v>
      </c>
      <c r="Q66">
        <v>4.7309999999999999</v>
      </c>
      <c r="R66">
        <v>0</v>
      </c>
      <c r="S66">
        <v>1</v>
      </c>
    </row>
    <row r="67" spans="14:19">
      <c r="N67">
        <v>66</v>
      </c>
      <c r="O67">
        <v>0</v>
      </c>
      <c r="P67">
        <v>8.1059999999999999</v>
      </c>
      <c r="Q67">
        <v>4.5359999999999996</v>
      </c>
      <c r="R67">
        <v>0</v>
      </c>
      <c r="S67">
        <v>1</v>
      </c>
    </row>
    <row r="68" spans="14:19">
      <c r="N68">
        <v>67</v>
      </c>
      <c r="O68">
        <v>0</v>
      </c>
      <c r="P68">
        <v>7.6749999999999998</v>
      </c>
      <c r="Q68">
        <v>4.5229999999999997</v>
      </c>
      <c r="R68">
        <v>0</v>
      </c>
      <c r="S68">
        <v>1</v>
      </c>
    </row>
    <row r="69" spans="14:19">
      <c r="N69">
        <v>68</v>
      </c>
      <c r="O69">
        <v>0</v>
      </c>
      <c r="P69">
        <v>7.7169999999999996</v>
      </c>
      <c r="Q69">
        <v>4.8280000000000003</v>
      </c>
      <c r="R69">
        <v>0</v>
      </c>
      <c r="S69">
        <v>1</v>
      </c>
    </row>
    <row r="70" spans="14:19">
      <c r="N70">
        <v>69</v>
      </c>
      <c r="O70">
        <v>0</v>
      </c>
      <c r="P70">
        <v>7.4109999999999996</v>
      </c>
      <c r="Q70">
        <v>4.7590000000000003</v>
      </c>
      <c r="R70">
        <v>0</v>
      </c>
      <c r="S70">
        <v>1</v>
      </c>
    </row>
    <row r="71" spans="14:19">
      <c r="N71">
        <v>70</v>
      </c>
      <c r="O71">
        <v>0</v>
      </c>
      <c r="P71">
        <v>7.1609999999999996</v>
      </c>
      <c r="Q71">
        <v>4.6340000000000003</v>
      </c>
      <c r="R71">
        <v>0</v>
      </c>
      <c r="S71">
        <v>1</v>
      </c>
    </row>
    <row r="72" spans="14:19">
      <c r="N72">
        <v>71</v>
      </c>
      <c r="O72">
        <v>0</v>
      </c>
      <c r="P72">
        <v>6.9390000000000001</v>
      </c>
      <c r="Q72">
        <v>4.4950000000000001</v>
      </c>
      <c r="R72">
        <v>0</v>
      </c>
      <c r="S72">
        <v>1</v>
      </c>
    </row>
    <row r="73" spans="14:19">
      <c r="N73">
        <v>72</v>
      </c>
      <c r="O73">
        <v>0</v>
      </c>
      <c r="P73">
        <v>7.1890000000000001</v>
      </c>
      <c r="Q73">
        <v>4.8419999999999996</v>
      </c>
      <c r="R73">
        <v>0</v>
      </c>
      <c r="S73">
        <v>1</v>
      </c>
    </row>
    <row r="74" spans="14:19">
      <c r="N74">
        <v>73</v>
      </c>
      <c r="O74">
        <v>0</v>
      </c>
      <c r="P74">
        <v>6.7450000000000001</v>
      </c>
      <c r="Q74">
        <v>5.0359999999999996</v>
      </c>
      <c r="R74">
        <v>0</v>
      </c>
      <c r="S74">
        <v>1</v>
      </c>
    </row>
    <row r="75" spans="14:19">
      <c r="N75">
        <v>74</v>
      </c>
      <c r="O75">
        <v>0</v>
      </c>
      <c r="P75">
        <v>6.8419999999999996</v>
      </c>
      <c r="Q75">
        <v>5.2859999999999996</v>
      </c>
      <c r="R75">
        <v>0</v>
      </c>
      <c r="S75">
        <v>1</v>
      </c>
    </row>
    <row r="76" spans="14:19">
      <c r="N76">
        <v>75</v>
      </c>
      <c r="O76">
        <v>0</v>
      </c>
      <c r="P76">
        <v>6.4249999999999998</v>
      </c>
      <c r="Q76">
        <v>5.3559999999999999</v>
      </c>
      <c r="R76">
        <v>0</v>
      </c>
      <c r="S76">
        <v>1</v>
      </c>
    </row>
    <row r="77" spans="14:19">
      <c r="N77">
        <v>76</v>
      </c>
      <c r="O77">
        <v>0</v>
      </c>
      <c r="P77">
        <v>6.7169999999999996</v>
      </c>
      <c r="Q77">
        <v>5.6479999999999997</v>
      </c>
      <c r="R77">
        <v>0</v>
      </c>
      <c r="S77">
        <v>1</v>
      </c>
    </row>
    <row r="78" spans="14:19">
      <c r="N78">
        <v>77</v>
      </c>
      <c r="O78">
        <v>0</v>
      </c>
      <c r="P78">
        <v>6.3419999999999996</v>
      </c>
      <c r="Q78">
        <v>5.8559999999999999</v>
      </c>
      <c r="R78">
        <v>0</v>
      </c>
      <c r="S78">
        <v>1</v>
      </c>
    </row>
    <row r="79" spans="14:19">
      <c r="N79">
        <v>78</v>
      </c>
      <c r="O79">
        <v>0</v>
      </c>
      <c r="P79">
        <v>6.1890000000000001</v>
      </c>
      <c r="Q79">
        <v>5.5780000000000003</v>
      </c>
      <c r="R79">
        <v>0</v>
      </c>
      <c r="S79">
        <v>1</v>
      </c>
    </row>
    <row r="80" spans="14:19">
      <c r="N80">
        <v>79</v>
      </c>
      <c r="O80">
        <v>0</v>
      </c>
      <c r="P80">
        <v>5.9669999999999996</v>
      </c>
      <c r="Q80">
        <v>5.7309999999999999</v>
      </c>
      <c r="R80">
        <v>0</v>
      </c>
      <c r="S80">
        <v>1</v>
      </c>
    </row>
    <row r="81" spans="14:19">
      <c r="N81">
        <v>80</v>
      </c>
      <c r="O81">
        <v>0</v>
      </c>
      <c r="P81">
        <v>6.1609999999999996</v>
      </c>
      <c r="Q81">
        <v>5.1340000000000003</v>
      </c>
      <c r="R81">
        <v>0</v>
      </c>
      <c r="S81">
        <v>1</v>
      </c>
    </row>
    <row r="82" spans="14:19">
      <c r="N82">
        <v>81</v>
      </c>
      <c r="O82">
        <v>0</v>
      </c>
      <c r="P82">
        <v>3.5089999999999999</v>
      </c>
      <c r="Q82">
        <v>6.0359999999999996</v>
      </c>
      <c r="R82">
        <v>0</v>
      </c>
      <c r="S82">
        <v>1</v>
      </c>
    </row>
    <row r="83" spans="14:19">
      <c r="N83">
        <v>82</v>
      </c>
      <c r="O83">
        <v>0</v>
      </c>
      <c r="P83">
        <v>3.9249999999999998</v>
      </c>
      <c r="Q83">
        <v>6.0359999999999996</v>
      </c>
      <c r="R83">
        <v>0</v>
      </c>
      <c r="S83">
        <v>1</v>
      </c>
    </row>
    <row r="84" spans="14:19">
      <c r="N84">
        <v>83</v>
      </c>
      <c r="O84">
        <v>0</v>
      </c>
      <c r="P84">
        <v>3.036</v>
      </c>
      <c r="Q84">
        <v>6.12</v>
      </c>
      <c r="R84">
        <v>0</v>
      </c>
      <c r="S84">
        <v>1</v>
      </c>
    </row>
    <row r="85" spans="14:19">
      <c r="N85">
        <v>84</v>
      </c>
      <c r="O85">
        <v>0</v>
      </c>
      <c r="P85">
        <v>3.3420000000000001</v>
      </c>
      <c r="Q85">
        <v>6.5919999999999996</v>
      </c>
      <c r="R85">
        <v>0</v>
      </c>
      <c r="S85">
        <v>1</v>
      </c>
    </row>
    <row r="86" spans="14:19">
      <c r="N86">
        <v>85</v>
      </c>
      <c r="O86">
        <v>0</v>
      </c>
      <c r="P86">
        <v>2.4950000000000001</v>
      </c>
      <c r="Q86">
        <v>7.1609999999999996</v>
      </c>
      <c r="R86">
        <v>0</v>
      </c>
      <c r="S86">
        <v>1</v>
      </c>
    </row>
    <row r="87" spans="14:19">
      <c r="N87">
        <v>86</v>
      </c>
      <c r="O87">
        <v>0</v>
      </c>
      <c r="P87">
        <v>3.1059999999999999</v>
      </c>
      <c r="Q87">
        <v>7.5919999999999996</v>
      </c>
      <c r="R87">
        <v>0</v>
      </c>
      <c r="S87">
        <v>1</v>
      </c>
    </row>
    <row r="88" spans="14:19">
      <c r="N88">
        <v>87</v>
      </c>
      <c r="O88">
        <v>0</v>
      </c>
      <c r="P88">
        <v>3.2170000000000001</v>
      </c>
      <c r="Q88">
        <v>7.87</v>
      </c>
      <c r="R88">
        <v>0</v>
      </c>
      <c r="S88">
        <v>1</v>
      </c>
    </row>
    <row r="89" spans="14:19">
      <c r="N89">
        <v>88</v>
      </c>
      <c r="O89">
        <v>0</v>
      </c>
      <c r="P89">
        <v>3.1059999999999999</v>
      </c>
      <c r="Q89">
        <v>10.119999999999999</v>
      </c>
      <c r="R89">
        <v>0</v>
      </c>
      <c r="S89">
        <v>1</v>
      </c>
    </row>
    <row r="90" spans="14:19">
      <c r="N90">
        <v>89</v>
      </c>
      <c r="O90">
        <v>0</v>
      </c>
      <c r="P90">
        <v>3.8980000000000001</v>
      </c>
      <c r="Q90">
        <v>7.3840000000000003</v>
      </c>
      <c r="R90">
        <v>0</v>
      </c>
      <c r="S90">
        <v>1</v>
      </c>
    </row>
    <row r="91" spans="14:19">
      <c r="N91">
        <v>90</v>
      </c>
      <c r="O91">
        <v>0</v>
      </c>
      <c r="P91">
        <v>3.911</v>
      </c>
      <c r="Q91">
        <v>6.9109999999999996</v>
      </c>
      <c r="R91">
        <v>0</v>
      </c>
      <c r="S91">
        <v>1</v>
      </c>
    </row>
    <row r="92" spans="14:19">
      <c r="N92">
        <v>91</v>
      </c>
      <c r="O92">
        <v>0</v>
      </c>
      <c r="P92">
        <v>3.8140000000000001</v>
      </c>
      <c r="Q92">
        <v>6.7030000000000003</v>
      </c>
      <c r="R92">
        <v>0</v>
      </c>
      <c r="S92">
        <v>1</v>
      </c>
    </row>
    <row r="93" spans="14:19">
      <c r="N93">
        <v>92</v>
      </c>
      <c r="O93">
        <v>0</v>
      </c>
      <c r="P93">
        <v>3.9249999999999998</v>
      </c>
      <c r="Q93">
        <v>6.4809999999999999</v>
      </c>
      <c r="R93">
        <v>0</v>
      </c>
      <c r="S93">
        <v>1</v>
      </c>
    </row>
    <row r="94" spans="14:19">
      <c r="N94">
        <v>93</v>
      </c>
      <c r="O94">
        <v>0</v>
      </c>
      <c r="P94">
        <v>4.4109999999999996</v>
      </c>
      <c r="Q94">
        <v>6.8280000000000003</v>
      </c>
      <c r="R94">
        <v>0</v>
      </c>
      <c r="S94">
        <v>1</v>
      </c>
    </row>
    <row r="95" spans="14:19">
      <c r="N95">
        <v>94</v>
      </c>
      <c r="O95">
        <v>0</v>
      </c>
      <c r="P95">
        <v>4.37</v>
      </c>
      <c r="Q95">
        <v>7.0780000000000003</v>
      </c>
      <c r="R95">
        <v>0</v>
      </c>
      <c r="S95">
        <v>1</v>
      </c>
    </row>
    <row r="96" spans="14:19">
      <c r="N96">
        <v>95</v>
      </c>
      <c r="O96">
        <v>0</v>
      </c>
      <c r="P96">
        <v>4.3280000000000003</v>
      </c>
      <c r="Q96">
        <v>7.3140000000000001</v>
      </c>
      <c r="R96">
        <v>0</v>
      </c>
      <c r="S96">
        <v>1</v>
      </c>
    </row>
    <row r="97" spans="14:19">
      <c r="N97">
        <v>96</v>
      </c>
      <c r="O97">
        <v>0</v>
      </c>
      <c r="P97">
        <v>4.3280000000000003</v>
      </c>
      <c r="Q97">
        <v>7.6890000000000001</v>
      </c>
      <c r="R97">
        <v>0</v>
      </c>
      <c r="S97">
        <v>1</v>
      </c>
    </row>
    <row r="98" spans="14:19">
      <c r="N98">
        <v>97</v>
      </c>
      <c r="O98">
        <v>0</v>
      </c>
      <c r="P98">
        <v>4.8140000000000001</v>
      </c>
      <c r="Q98">
        <v>7.05</v>
      </c>
      <c r="R98">
        <v>0</v>
      </c>
      <c r="S98">
        <v>1</v>
      </c>
    </row>
    <row r="99" spans="14:19">
      <c r="N99">
        <v>98</v>
      </c>
      <c r="O99">
        <v>0</v>
      </c>
      <c r="P99">
        <v>4.7859999999999996</v>
      </c>
      <c r="Q99">
        <v>6.6749999999999998</v>
      </c>
      <c r="R99">
        <v>0</v>
      </c>
      <c r="S99">
        <v>1</v>
      </c>
    </row>
    <row r="100" spans="14:19">
      <c r="N100">
        <v>99</v>
      </c>
      <c r="O100">
        <v>0</v>
      </c>
      <c r="P100">
        <v>5.2729999999999997</v>
      </c>
      <c r="Q100">
        <v>6.7590000000000003</v>
      </c>
      <c r="R100">
        <v>0</v>
      </c>
      <c r="S100">
        <v>1</v>
      </c>
    </row>
    <row r="101" spans="14:19">
      <c r="N101">
        <v>100</v>
      </c>
      <c r="O101">
        <v>0</v>
      </c>
      <c r="P101">
        <v>5.7450000000000001</v>
      </c>
      <c r="Q101">
        <v>6.3840000000000003</v>
      </c>
      <c r="R101">
        <v>0</v>
      </c>
      <c r="S101">
        <v>1</v>
      </c>
    </row>
    <row r="102" spans="14:19">
      <c r="N102">
        <v>101</v>
      </c>
      <c r="O102">
        <v>0</v>
      </c>
      <c r="P102">
        <v>6.1059999999999999</v>
      </c>
      <c r="Q102">
        <v>6.2309999999999999</v>
      </c>
      <c r="R102">
        <v>0</v>
      </c>
      <c r="S102">
        <v>1</v>
      </c>
    </row>
    <row r="103" spans="14:19">
      <c r="N103">
        <v>102</v>
      </c>
      <c r="O103">
        <v>0</v>
      </c>
      <c r="P103">
        <v>6.3559999999999999</v>
      </c>
      <c r="Q103">
        <v>6.1609999999999996</v>
      </c>
      <c r="R103">
        <v>0</v>
      </c>
      <c r="S103">
        <v>1</v>
      </c>
    </row>
    <row r="104" spans="14:19">
      <c r="N104">
        <v>103</v>
      </c>
      <c r="O104">
        <v>0</v>
      </c>
      <c r="P104">
        <v>5.0229999999999997</v>
      </c>
      <c r="Q104">
        <v>7.4530000000000003</v>
      </c>
      <c r="R104">
        <v>0</v>
      </c>
      <c r="S104">
        <v>1</v>
      </c>
    </row>
    <row r="105" spans="14:19">
      <c r="N105">
        <v>104</v>
      </c>
      <c r="O105">
        <v>0</v>
      </c>
      <c r="P105">
        <v>4.7859999999999996</v>
      </c>
      <c r="Q105">
        <v>7.8979999999999997</v>
      </c>
      <c r="R105">
        <v>0</v>
      </c>
      <c r="S105">
        <v>1</v>
      </c>
    </row>
    <row r="106" spans="14:19">
      <c r="N106">
        <v>105</v>
      </c>
      <c r="O106">
        <v>0</v>
      </c>
      <c r="P106">
        <v>4.1749999999999998</v>
      </c>
      <c r="Q106">
        <v>8.4250000000000007</v>
      </c>
      <c r="R106">
        <v>0</v>
      </c>
      <c r="S106">
        <v>1</v>
      </c>
    </row>
    <row r="107" spans="14:19">
      <c r="N107">
        <v>106</v>
      </c>
      <c r="O107">
        <v>0</v>
      </c>
      <c r="P107">
        <v>4.2729999999999997</v>
      </c>
      <c r="Q107">
        <v>8.6609999999999996</v>
      </c>
      <c r="R107">
        <v>0</v>
      </c>
      <c r="S107">
        <v>1</v>
      </c>
    </row>
    <row r="108" spans="14:19">
      <c r="N108">
        <v>107</v>
      </c>
      <c r="O108">
        <v>0</v>
      </c>
      <c r="P108">
        <v>4.6340000000000003</v>
      </c>
      <c r="Q108">
        <v>8.6340000000000003</v>
      </c>
      <c r="R108">
        <v>0</v>
      </c>
      <c r="S108">
        <v>1</v>
      </c>
    </row>
    <row r="109" spans="14:19">
      <c r="N109">
        <v>108</v>
      </c>
      <c r="O109">
        <v>0</v>
      </c>
      <c r="P109">
        <v>4.9249999999999998</v>
      </c>
      <c r="Q109">
        <v>8.5229999999999997</v>
      </c>
      <c r="R109">
        <v>0</v>
      </c>
      <c r="S109">
        <v>1</v>
      </c>
    </row>
    <row r="110" spans="14:19">
      <c r="N110">
        <v>109</v>
      </c>
      <c r="O110">
        <v>0</v>
      </c>
      <c r="P110">
        <v>4.5229999999999997</v>
      </c>
      <c r="Q110">
        <v>9.0640000000000001</v>
      </c>
      <c r="R110">
        <v>0</v>
      </c>
      <c r="S110">
        <v>1</v>
      </c>
    </row>
    <row r="111" spans="14:19">
      <c r="N111">
        <v>110</v>
      </c>
      <c r="O111">
        <v>0</v>
      </c>
      <c r="P111">
        <v>5.0780000000000003</v>
      </c>
      <c r="Q111">
        <v>9.2309999999999999</v>
      </c>
      <c r="R111">
        <v>0</v>
      </c>
      <c r="S111">
        <v>1</v>
      </c>
    </row>
    <row r="112" spans="14:19">
      <c r="N112">
        <v>111</v>
      </c>
      <c r="O112">
        <v>0</v>
      </c>
      <c r="P112">
        <v>5.6749999999999998</v>
      </c>
      <c r="Q112">
        <v>9.0779999999999994</v>
      </c>
      <c r="R112">
        <v>0</v>
      </c>
      <c r="S112">
        <v>1</v>
      </c>
    </row>
    <row r="113" spans="14:19">
      <c r="N113">
        <v>112</v>
      </c>
      <c r="O113">
        <v>0</v>
      </c>
      <c r="P113">
        <v>5.6609999999999996</v>
      </c>
      <c r="Q113">
        <v>9.5779999999999994</v>
      </c>
      <c r="R113">
        <v>0</v>
      </c>
      <c r="S113">
        <v>1</v>
      </c>
    </row>
    <row r="114" spans="14:19">
      <c r="N114">
        <v>113</v>
      </c>
      <c r="O114">
        <v>0</v>
      </c>
      <c r="P114">
        <v>5.3419999999999996</v>
      </c>
      <c r="Q114">
        <v>9.6479999999999997</v>
      </c>
      <c r="R114">
        <v>0</v>
      </c>
      <c r="S114">
        <v>1</v>
      </c>
    </row>
    <row r="115" spans="14:19">
      <c r="N115">
        <v>114</v>
      </c>
      <c r="O115">
        <v>0</v>
      </c>
      <c r="P115">
        <v>4.5229999999999997</v>
      </c>
      <c r="Q115">
        <v>9.8699999999999992</v>
      </c>
      <c r="R115">
        <v>0</v>
      </c>
      <c r="S115">
        <v>1</v>
      </c>
    </row>
    <row r="116" spans="14:19">
      <c r="N116">
        <v>115</v>
      </c>
      <c r="O116">
        <v>0</v>
      </c>
      <c r="P116">
        <v>5.0780000000000003</v>
      </c>
      <c r="Q116">
        <v>10.119999999999999</v>
      </c>
      <c r="R116">
        <v>0</v>
      </c>
      <c r="S116">
        <v>1</v>
      </c>
    </row>
    <row r="117" spans="14:19">
      <c r="N117">
        <v>116</v>
      </c>
      <c r="O117">
        <v>0</v>
      </c>
      <c r="P117">
        <v>5.6890000000000001</v>
      </c>
      <c r="Q117">
        <v>10.036</v>
      </c>
      <c r="R117">
        <v>0</v>
      </c>
      <c r="S117">
        <v>1</v>
      </c>
    </row>
    <row r="118" spans="14:19">
      <c r="N118">
        <v>117</v>
      </c>
      <c r="O118">
        <v>0</v>
      </c>
      <c r="P118">
        <v>6.3</v>
      </c>
      <c r="Q118">
        <v>9.8559999999999999</v>
      </c>
      <c r="R118">
        <v>0</v>
      </c>
      <c r="S118">
        <v>1</v>
      </c>
    </row>
    <row r="119" spans="14:19">
      <c r="N119">
        <v>118</v>
      </c>
      <c r="O119">
        <v>0</v>
      </c>
      <c r="P119">
        <v>5.4809999999999999</v>
      </c>
      <c r="Q119">
        <v>10.606</v>
      </c>
      <c r="R119">
        <v>0</v>
      </c>
      <c r="S119">
        <v>1</v>
      </c>
    </row>
    <row r="120" spans="14:19">
      <c r="N120">
        <v>119</v>
      </c>
      <c r="O120">
        <v>0</v>
      </c>
      <c r="P120">
        <v>4.4950000000000001</v>
      </c>
      <c r="Q120">
        <v>11.148</v>
      </c>
      <c r="R120">
        <v>0</v>
      </c>
      <c r="S120">
        <v>1</v>
      </c>
    </row>
    <row r="121" spans="14:19">
      <c r="N121">
        <v>120</v>
      </c>
      <c r="O121">
        <v>0</v>
      </c>
      <c r="P121">
        <v>5.7729999999999997</v>
      </c>
      <c r="Q121">
        <v>11.606</v>
      </c>
      <c r="R121">
        <v>0</v>
      </c>
      <c r="S121">
        <v>1</v>
      </c>
    </row>
    <row r="122" spans="14:19">
      <c r="N122">
        <v>121</v>
      </c>
      <c r="O122">
        <v>0</v>
      </c>
      <c r="P122">
        <v>6.1890000000000001</v>
      </c>
      <c r="Q122">
        <v>11.467000000000001</v>
      </c>
      <c r="R122">
        <v>0</v>
      </c>
      <c r="S122">
        <v>1</v>
      </c>
    </row>
    <row r="123" spans="14:19">
      <c r="N123">
        <v>122</v>
      </c>
      <c r="O123">
        <v>0</v>
      </c>
      <c r="P123">
        <v>6.7309999999999999</v>
      </c>
      <c r="Q123">
        <v>11.356</v>
      </c>
      <c r="R123">
        <v>0</v>
      </c>
      <c r="S123">
        <v>1</v>
      </c>
    </row>
    <row r="124" spans="14:19">
      <c r="N124">
        <v>123</v>
      </c>
      <c r="O124">
        <v>0</v>
      </c>
      <c r="P124">
        <v>6.7450000000000001</v>
      </c>
      <c r="Q124">
        <v>11.577999999999999</v>
      </c>
      <c r="R124">
        <v>0</v>
      </c>
      <c r="S124">
        <v>1</v>
      </c>
    </row>
    <row r="125" spans="14:19">
      <c r="N125">
        <v>124</v>
      </c>
      <c r="O125">
        <v>0</v>
      </c>
      <c r="P125">
        <v>7.3419999999999996</v>
      </c>
      <c r="Q125">
        <v>11.884</v>
      </c>
      <c r="R125">
        <v>0</v>
      </c>
      <c r="S125">
        <v>1</v>
      </c>
    </row>
    <row r="126" spans="14:19">
      <c r="N126">
        <v>125</v>
      </c>
      <c r="O126">
        <v>0</v>
      </c>
      <c r="P126">
        <v>7.6890000000000001</v>
      </c>
      <c r="Q126">
        <v>11.939</v>
      </c>
      <c r="R126">
        <v>0</v>
      </c>
      <c r="S126">
        <v>1</v>
      </c>
    </row>
    <row r="127" spans="14:19">
      <c r="N127">
        <v>126</v>
      </c>
      <c r="O127">
        <v>0</v>
      </c>
      <c r="P127">
        <v>7.9109999999999996</v>
      </c>
      <c r="Q127">
        <v>11.939</v>
      </c>
      <c r="R127">
        <v>0</v>
      </c>
      <c r="S127">
        <v>1</v>
      </c>
    </row>
    <row r="128" spans="14:19">
      <c r="N128">
        <v>127</v>
      </c>
      <c r="O128">
        <v>0</v>
      </c>
      <c r="P128">
        <v>8.6059999999999999</v>
      </c>
      <c r="Q128">
        <v>12.036</v>
      </c>
      <c r="R128">
        <v>0</v>
      </c>
      <c r="S128">
        <v>1</v>
      </c>
    </row>
    <row r="129" spans="14:19">
      <c r="N129">
        <v>128</v>
      </c>
      <c r="O129">
        <v>0</v>
      </c>
      <c r="P129">
        <v>8.7170000000000005</v>
      </c>
      <c r="Q129">
        <v>11.731</v>
      </c>
      <c r="R129">
        <v>0</v>
      </c>
      <c r="S129">
        <v>1</v>
      </c>
    </row>
    <row r="130" spans="14:19">
      <c r="N130">
        <v>129</v>
      </c>
      <c r="O130">
        <v>0</v>
      </c>
      <c r="P130">
        <v>8.7170000000000005</v>
      </c>
      <c r="Q130">
        <v>11.217000000000001</v>
      </c>
      <c r="R130">
        <v>0</v>
      </c>
      <c r="S130">
        <v>1</v>
      </c>
    </row>
    <row r="131" spans="14:19">
      <c r="N131">
        <v>130</v>
      </c>
      <c r="O131">
        <v>0</v>
      </c>
      <c r="P131">
        <v>8.1890000000000001</v>
      </c>
      <c r="Q131">
        <v>11.327999999999999</v>
      </c>
      <c r="R131">
        <v>0</v>
      </c>
      <c r="S131">
        <v>1</v>
      </c>
    </row>
    <row r="132" spans="14:19">
      <c r="N132">
        <v>131</v>
      </c>
      <c r="O132">
        <v>0</v>
      </c>
      <c r="P132">
        <v>7.3559999999999999</v>
      </c>
      <c r="Q132">
        <v>11.467000000000001</v>
      </c>
      <c r="R132">
        <v>0</v>
      </c>
      <c r="S132">
        <v>1</v>
      </c>
    </row>
    <row r="133" spans="14:19">
      <c r="N133">
        <v>132</v>
      </c>
      <c r="O133">
        <v>0</v>
      </c>
      <c r="P133">
        <v>7.5780000000000003</v>
      </c>
      <c r="Q133">
        <v>11.244999999999999</v>
      </c>
      <c r="R133">
        <v>0</v>
      </c>
      <c r="S133">
        <v>1</v>
      </c>
    </row>
    <row r="134" spans="14:19">
      <c r="N134">
        <v>133</v>
      </c>
      <c r="O134">
        <v>0</v>
      </c>
      <c r="P134">
        <v>7.3</v>
      </c>
      <c r="Q134">
        <v>11.134</v>
      </c>
      <c r="R134">
        <v>0</v>
      </c>
      <c r="S134">
        <v>1</v>
      </c>
    </row>
    <row r="135" spans="14:19">
      <c r="N135">
        <v>134</v>
      </c>
      <c r="O135">
        <v>0</v>
      </c>
      <c r="P135">
        <v>6.4809999999999999</v>
      </c>
      <c r="Q135">
        <v>10.994999999999999</v>
      </c>
      <c r="R135">
        <v>0</v>
      </c>
      <c r="S135">
        <v>1</v>
      </c>
    </row>
    <row r="136" spans="14:19">
      <c r="N136">
        <v>135</v>
      </c>
      <c r="O136">
        <v>0</v>
      </c>
      <c r="P136">
        <v>8.0640000000000001</v>
      </c>
      <c r="Q136">
        <v>10.856</v>
      </c>
      <c r="R136">
        <v>0</v>
      </c>
      <c r="S136">
        <v>1</v>
      </c>
    </row>
    <row r="137" spans="14:19">
      <c r="N137">
        <v>136</v>
      </c>
      <c r="O137">
        <v>0</v>
      </c>
      <c r="P137">
        <v>8.1750000000000007</v>
      </c>
      <c r="Q137">
        <v>10.661</v>
      </c>
      <c r="R137">
        <v>0</v>
      </c>
      <c r="S137">
        <v>1</v>
      </c>
    </row>
    <row r="138" spans="14:19">
      <c r="N138">
        <v>137</v>
      </c>
      <c r="O138">
        <v>0</v>
      </c>
      <c r="P138">
        <v>8.3559999999999999</v>
      </c>
      <c r="Q138">
        <v>10.398</v>
      </c>
      <c r="R138">
        <v>0</v>
      </c>
      <c r="S138">
        <v>1</v>
      </c>
    </row>
    <row r="139" spans="14:19">
      <c r="N139">
        <v>138</v>
      </c>
      <c r="O139">
        <v>0</v>
      </c>
      <c r="P139">
        <v>8.2170000000000005</v>
      </c>
      <c r="Q139">
        <v>10.134</v>
      </c>
      <c r="R139">
        <v>0</v>
      </c>
      <c r="S139">
        <v>1</v>
      </c>
    </row>
    <row r="140" spans="14:19">
      <c r="N140">
        <v>139</v>
      </c>
      <c r="O140">
        <v>0</v>
      </c>
      <c r="P140">
        <v>7.7859999999999996</v>
      </c>
      <c r="Q140">
        <v>10.244999999999999</v>
      </c>
      <c r="R140">
        <v>0</v>
      </c>
      <c r="S140">
        <v>1</v>
      </c>
    </row>
    <row r="141" spans="14:19">
      <c r="N141">
        <v>140</v>
      </c>
      <c r="O141">
        <v>0</v>
      </c>
      <c r="P141">
        <v>7.4530000000000003</v>
      </c>
      <c r="Q141">
        <v>10.231</v>
      </c>
      <c r="R141">
        <v>0</v>
      </c>
      <c r="S141">
        <v>1</v>
      </c>
    </row>
    <row r="142" spans="14:19">
      <c r="N142">
        <v>141</v>
      </c>
      <c r="O142">
        <v>0</v>
      </c>
      <c r="P142">
        <v>7.1609999999999996</v>
      </c>
      <c r="Q142">
        <v>10.273</v>
      </c>
      <c r="R142">
        <v>0</v>
      </c>
      <c r="S142">
        <v>1</v>
      </c>
    </row>
    <row r="143" spans="14:19">
      <c r="N143">
        <v>142</v>
      </c>
      <c r="O143">
        <v>0</v>
      </c>
      <c r="P143">
        <v>7.1890000000000001</v>
      </c>
      <c r="Q143">
        <v>9.9109999999999996</v>
      </c>
      <c r="R143">
        <v>0</v>
      </c>
      <c r="S143">
        <v>1</v>
      </c>
    </row>
    <row r="144" spans="14:19">
      <c r="N144">
        <v>143</v>
      </c>
      <c r="O144">
        <v>0</v>
      </c>
      <c r="P144">
        <v>7.5780000000000003</v>
      </c>
      <c r="Q144">
        <v>9.7449999999999992</v>
      </c>
      <c r="R144">
        <v>0</v>
      </c>
      <c r="S144">
        <v>1</v>
      </c>
    </row>
    <row r="145" spans="14:19">
      <c r="N145">
        <v>144</v>
      </c>
      <c r="O145">
        <v>0</v>
      </c>
      <c r="P145">
        <v>6.8280000000000003</v>
      </c>
      <c r="Q145">
        <v>9.4809999999999999</v>
      </c>
      <c r="R145">
        <v>0</v>
      </c>
      <c r="S145">
        <v>1</v>
      </c>
    </row>
    <row r="146" spans="14:19">
      <c r="N146">
        <v>145</v>
      </c>
      <c r="O146">
        <v>0</v>
      </c>
      <c r="P146">
        <v>6.4390000000000001</v>
      </c>
      <c r="Q146">
        <v>9.2729999999999997</v>
      </c>
      <c r="R146">
        <v>0</v>
      </c>
      <c r="S146">
        <v>1</v>
      </c>
    </row>
    <row r="147" spans="14:19">
      <c r="N147">
        <v>146</v>
      </c>
      <c r="O147">
        <v>0</v>
      </c>
      <c r="P147">
        <v>6.3559999999999999</v>
      </c>
      <c r="Q147">
        <v>9.0500000000000007</v>
      </c>
      <c r="R147">
        <v>0</v>
      </c>
      <c r="S147">
        <v>1</v>
      </c>
    </row>
    <row r="148" spans="14:19">
      <c r="N148">
        <v>147</v>
      </c>
      <c r="O148">
        <v>0</v>
      </c>
      <c r="P148">
        <v>7.2030000000000003</v>
      </c>
      <c r="Q148">
        <v>9.4250000000000007</v>
      </c>
      <c r="R148">
        <v>0</v>
      </c>
      <c r="S148">
        <v>1</v>
      </c>
    </row>
    <row r="149" spans="14:19">
      <c r="N149">
        <v>148</v>
      </c>
      <c r="O149">
        <v>0</v>
      </c>
      <c r="P149">
        <v>7.5359999999999996</v>
      </c>
      <c r="Q149">
        <v>9.2029999999999994</v>
      </c>
      <c r="R149">
        <v>0</v>
      </c>
      <c r="S149">
        <v>1</v>
      </c>
    </row>
    <row r="150" spans="14:19">
      <c r="N150">
        <v>149</v>
      </c>
      <c r="O150">
        <v>0</v>
      </c>
      <c r="P150">
        <v>7.9950000000000001</v>
      </c>
      <c r="Q150">
        <v>9.2309999999999999</v>
      </c>
      <c r="R150">
        <v>0</v>
      </c>
      <c r="S150">
        <v>1</v>
      </c>
    </row>
    <row r="151" spans="14:19">
      <c r="N151">
        <v>150</v>
      </c>
      <c r="O151">
        <v>0</v>
      </c>
      <c r="P151">
        <v>8.2590000000000003</v>
      </c>
      <c r="Q151">
        <v>9.5090000000000003</v>
      </c>
      <c r="R151">
        <v>0</v>
      </c>
      <c r="S151">
        <v>1</v>
      </c>
    </row>
    <row r="152" spans="14:19">
      <c r="N152">
        <v>151</v>
      </c>
      <c r="O152">
        <v>0</v>
      </c>
      <c r="P152">
        <v>8.6059999999999999</v>
      </c>
      <c r="Q152">
        <v>9.6890000000000001</v>
      </c>
      <c r="R152">
        <v>0</v>
      </c>
      <c r="S152">
        <v>1</v>
      </c>
    </row>
    <row r="153" spans="14:19">
      <c r="N153">
        <v>152</v>
      </c>
      <c r="O153">
        <v>0</v>
      </c>
      <c r="P153">
        <v>8.8279999999999994</v>
      </c>
      <c r="Q153">
        <v>9.8420000000000005</v>
      </c>
      <c r="R153">
        <v>0</v>
      </c>
      <c r="S153">
        <v>1</v>
      </c>
    </row>
    <row r="154" spans="14:19">
      <c r="N154">
        <v>153</v>
      </c>
      <c r="O154">
        <v>0</v>
      </c>
      <c r="P154">
        <v>8.8420000000000005</v>
      </c>
      <c r="Q154">
        <v>10.036</v>
      </c>
      <c r="R154">
        <v>0</v>
      </c>
      <c r="S154">
        <v>1</v>
      </c>
    </row>
    <row r="155" spans="14:19">
      <c r="N155">
        <v>154</v>
      </c>
      <c r="O155">
        <v>0</v>
      </c>
      <c r="P155">
        <v>9.1479999999999997</v>
      </c>
      <c r="Q155">
        <v>9.7449999999999992</v>
      </c>
      <c r="R155">
        <v>0</v>
      </c>
      <c r="S155">
        <v>1</v>
      </c>
    </row>
    <row r="156" spans="14:19">
      <c r="N156">
        <v>155</v>
      </c>
      <c r="O156">
        <v>0</v>
      </c>
      <c r="P156">
        <v>10.009</v>
      </c>
      <c r="Q156">
        <v>9.8559999999999999</v>
      </c>
      <c r="R156">
        <v>0</v>
      </c>
      <c r="S156">
        <v>1</v>
      </c>
    </row>
    <row r="157" spans="14:19">
      <c r="N157">
        <v>156</v>
      </c>
      <c r="O157">
        <v>0</v>
      </c>
      <c r="P157">
        <v>9.7309999999999999</v>
      </c>
      <c r="Q157">
        <v>10.050000000000001</v>
      </c>
      <c r="R157">
        <v>0</v>
      </c>
      <c r="S157">
        <v>1</v>
      </c>
    </row>
    <row r="158" spans="14:19">
      <c r="N158">
        <v>157</v>
      </c>
      <c r="O158">
        <v>0</v>
      </c>
      <c r="P158">
        <v>9.6750000000000007</v>
      </c>
      <c r="Q158">
        <v>10.244999999999999</v>
      </c>
      <c r="R158">
        <v>0</v>
      </c>
      <c r="S158">
        <v>1</v>
      </c>
    </row>
    <row r="159" spans="14:19">
      <c r="N159">
        <v>158</v>
      </c>
      <c r="O159">
        <v>0</v>
      </c>
      <c r="P159">
        <v>9.5920000000000005</v>
      </c>
      <c r="Q159">
        <v>10.577999999999999</v>
      </c>
      <c r="R159">
        <v>0</v>
      </c>
      <c r="S159">
        <v>1</v>
      </c>
    </row>
    <row r="160" spans="14:19">
      <c r="N160">
        <v>159</v>
      </c>
      <c r="O160">
        <v>0</v>
      </c>
      <c r="P160">
        <v>9.5500000000000007</v>
      </c>
      <c r="Q160">
        <v>11.12</v>
      </c>
      <c r="R160">
        <v>0</v>
      </c>
      <c r="S160">
        <v>1</v>
      </c>
    </row>
    <row r="161" spans="14:19">
      <c r="N161">
        <v>160</v>
      </c>
      <c r="O161">
        <v>0</v>
      </c>
      <c r="P161">
        <v>9.4250000000000007</v>
      </c>
      <c r="Q161">
        <v>11.564</v>
      </c>
      <c r="R161">
        <v>0</v>
      </c>
      <c r="S161">
        <v>1</v>
      </c>
    </row>
    <row r="162" spans="14:19">
      <c r="N162">
        <v>161</v>
      </c>
      <c r="O162">
        <v>0</v>
      </c>
      <c r="P162">
        <v>9.6890000000000001</v>
      </c>
      <c r="Q162">
        <v>11.481</v>
      </c>
      <c r="R162">
        <v>0</v>
      </c>
      <c r="S162">
        <v>1</v>
      </c>
    </row>
    <row r="163" spans="14:19">
      <c r="N163">
        <v>162</v>
      </c>
      <c r="O163">
        <v>0</v>
      </c>
      <c r="P163">
        <v>10.134</v>
      </c>
      <c r="Q163">
        <v>10.452999999999999</v>
      </c>
      <c r="R163">
        <v>0</v>
      </c>
      <c r="S163">
        <v>1</v>
      </c>
    </row>
    <row r="164" spans="14:19">
      <c r="N164">
        <v>163</v>
      </c>
      <c r="O164">
        <v>0</v>
      </c>
      <c r="P164">
        <v>10.3</v>
      </c>
      <c r="Q164">
        <v>10.731</v>
      </c>
      <c r="R164">
        <v>0</v>
      </c>
      <c r="S164">
        <v>1</v>
      </c>
    </row>
    <row r="165" spans="14:19">
      <c r="N165">
        <v>164</v>
      </c>
      <c r="O165">
        <v>0</v>
      </c>
      <c r="P165">
        <v>10.744999999999999</v>
      </c>
      <c r="Q165">
        <v>10.592000000000001</v>
      </c>
      <c r="R165">
        <v>0</v>
      </c>
      <c r="S165">
        <v>1</v>
      </c>
    </row>
    <row r="166" spans="14:19">
      <c r="N166">
        <v>165</v>
      </c>
      <c r="O166">
        <v>0</v>
      </c>
      <c r="P166">
        <v>10.592000000000001</v>
      </c>
      <c r="Q166">
        <v>10.023</v>
      </c>
      <c r="R166">
        <v>0</v>
      </c>
      <c r="S166">
        <v>1</v>
      </c>
    </row>
    <row r="167" spans="14:19">
      <c r="N167">
        <v>166</v>
      </c>
      <c r="O167">
        <v>0</v>
      </c>
      <c r="P167">
        <v>10.494999999999999</v>
      </c>
      <c r="Q167">
        <v>9.0090000000000003</v>
      </c>
      <c r="R167">
        <v>0</v>
      </c>
      <c r="S167">
        <v>1</v>
      </c>
    </row>
    <row r="168" spans="14:19">
      <c r="N168">
        <v>167</v>
      </c>
      <c r="O168">
        <v>0</v>
      </c>
      <c r="P168">
        <v>11.134</v>
      </c>
      <c r="Q168">
        <v>9.6059999999999999</v>
      </c>
      <c r="R168">
        <v>0</v>
      </c>
      <c r="S168">
        <v>1</v>
      </c>
    </row>
    <row r="169" spans="14:19">
      <c r="N169">
        <v>168</v>
      </c>
      <c r="O169">
        <v>0</v>
      </c>
      <c r="P169">
        <v>11.077999999999999</v>
      </c>
      <c r="Q169">
        <v>10.717000000000001</v>
      </c>
      <c r="R169">
        <v>0</v>
      </c>
      <c r="S169">
        <v>1</v>
      </c>
    </row>
    <row r="170" spans="14:19">
      <c r="N170">
        <v>169</v>
      </c>
      <c r="O170">
        <v>0</v>
      </c>
      <c r="P170">
        <v>11.092000000000001</v>
      </c>
      <c r="Q170">
        <v>11.744999999999999</v>
      </c>
      <c r="R170">
        <v>0</v>
      </c>
      <c r="S170">
        <v>1</v>
      </c>
    </row>
    <row r="171" spans="14:19">
      <c r="N171">
        <v>170</v>
      </c>
      <c r="O171">
        <v>0</v>
      </c>
      <c r="P171">
        <v>10.925000000000001</v>
      </c>
      <c r="Q171">
        <v>11.481</v>
      </c>
      <c r="R171">
        <v>0</v>
      </c>
      <c r="S171">
        <v>1</v>
      </c>
    </row>
    <row r="172" spans="14:19">
      <c r="N172">
        <v>171</v>
      </c>
      <c r="O172">
        <v>0</v>
      </c>
      <c r="P172">
        <v>11.467000000000001</v>
      </c>
      <c r="Q172">
        <v>12.244999999999999</v>
      </c>
      <c r="R172">
        <v>0</v>
      </c>
      <c r="S172">
        <v>1</v>
      </c>
    </row>
    <row r="173" spans="14:19">
      <c r="N173">
        <v>172</v>
      </c>
      <c r="O173">
        <v>0</v>
      </c>
      <c r="P173">
        <v>11.564</v>
      </c>
      <c r="Q173">
        <v>12.023</v>
      </c>
      <c r="R173">
        <v>0</v>
      </c>
      <c r="S173">
        <v>1</v>
      </c>
    </row>
    <row r="174" spans="14:19">
      <c r="N174">
        <v>173</v>
      </c>
      <c r="O174">
        <v>0</v>
      </c>
      <c r="P174">
        <v>11.523</v>
      </c>
      <c r="Q174">
        <v>11.661</v>
      </c>
      <c r="R174">
        <v>0</v>
      </c>
      <c r="S174">
        <v>1</v>
      </c>
    </row>
    <row r="175" spans="14:19">
      <c r="N175">
        <v>174</v>
      </c>
      <c r="O175">
        <v>0</v>
      </c>
      <c r="P175">
        <v>11.898</v>
      </c>
      <c r="Q175">
        <v>11.87</v>
      </c>
      <c r="R175">
        <v>0</v>
      </c>
      <c r="S175">
        <v>1</v>
      </c>
    </row>
    <row r="176" spans="14:19">
      <c r="N176">
        <v>175</v>
      </c>
      <c r="O176">
        <v>0</v>
      </c>
      <c r="P176">
        <v>11.939</v>
      </c>
      <c r="Q176">
        <v>11.536</v>
      </c>
      <c r="R176">
        <v>0</v>
      </c>
      <c r="S176">
        <v>1</v>
      </c>
    </row>
    <row r="177" spans="14:19">
      <c r="N177">
        <v>176</v>
      </c>
      <c r="O177">
        <v>0</v>
      </c>
      <c r="P177">
        <v>11.911</v>
      </c>
      <c r="Q177">
        <v>10.967000000000001</v>
      </c>
      <c r="R177">
        <v>0</v>
      </c>
      <c r="S177">
        <v>1</v>
      </c>
    </row>
    <row r="178" spans="14:19">
      <c r="N178">
        <v>177</v>
      </c>
      <c r="O178">
        <v>0</v>
      </c>
      <c r="P178">
        <v>11.856</v>
      </c>
      <c r="Q178">
        <v>10.634</v>
      </c>
      <c r="R178">
        <v>0</v>
      </c>
      <c r="S178">
        <v>1</v>
      </c>
    </row>
    <row r="179" spans="14:19">
      <c r="N179">
        <v>178</v>
      </c>
      <c r="O179">
        <v>0</v>
      </c>
      <c r="P179">
        <v>11.884</v>
      </c>
      <c r="Q179">
        <v>9.5779999999999994</v>
      </c>
      <c r="R179">
        <v>0</v>
      </c>
      <c r="S179">
        <v>1</v>
      </c>
    </row>
    <row r="180" spans="14:19">
      <c r="N180">
        <v>179</v>
      </c>
      <c r="O180">
        <v>0</v>
      </c>
      <c r="P180">
        <v>12.175000000000001</v>
      </c>
      <c r="Q180">
        <v>9.9390000000000001</v>
      </c>
      <c r="R180">
        <v>0</v>
      </c>
      <c r="S180">
        <v>1</v>
      </c>
    </row>
    <row r="181" spans="14:19">
      <c r="N181">
        <v>180</v>
      </c>
      <c r="O181">
        <v>0</v>
      </c>
      <c r="P181">
        <v>12.467000000000001</v>
      </c>
      <c r="Q181">
        <v>9.6199999999999992</v>
      </c>
      <c r="R181">
        <v>0</v>
      </c>
      <c r="S181">
        <v>1</v>
      </c>
    </row>
    <row r="182" spans="14:19">
      <c r="N182">
        <v>181</v>
      </c>
      <c r="O182">
        <v>0</v>
      </c>
      <c r="P182">
        <v>12.439</v>
      </c>
      <c r="Q182">
        <v>10.731</v>
      </c>
      <c r="R182">
        <v>0</v>
      </c>
      <c r="S182">
        <v>1</v>
      </c>
    </row>
    <row r="183" spans="14:19">
      <c r="N183">
        <v>182</v>
      </c>
      <c r="O183">
        <v>0</v>
      </c>
      <c r="P183">
        <v>12.981</v>
      </c>
      <c r="Q183">
        <v>11.564</v>
      </c>
      <c r="R183">
        <v>0</v>
      </c>
      <c r="S183">
        <v>1</v>
      </c>
    </row>
    <row r="184" spans="14:19">
      <c r="N184">
        <v>183</v>
      </c>
      <c r="O184">
        <v>0</v>
      </c>
      <c r="P184">
        <v>13.259</v>
      </c>
      <c r="Q184">
        <v>11.856</v>
      </c>
      <c r="R184">
        <v>0</v>
      </c>
      <c r="S184">
        <v>1</v>
      </c>
    </row>
    <row r="185" spans="14:19">
      <c r="N185">
        <v>184</v>
      </c>
      <c r="O185">
        <v>0</v>
      </c>
      <c r="P185">
        <v>12.731</v>
      </c>
      <c r="Q185">
        <v>11.911</v>
      </c>
      <c r="R185">
        <v>0</v>
      </c>
      <c r="S185">
        <v>1</v>
      </c>
    </row>
    <row r="186" spans="14:19">
      <c r="N186">
        <v>185</v>
      </c>
      <c r="O186">
        <v>0</v>
      </c>
      <c r="P186">
        <v>13.398</v>
      </c>
      <c r="Q186">
        <v>12.467000000000001</v>
      </c>
      <c r="R186">
        <v>0</v>
      </c>
      <c r="S186">
        <v>1</v>
      </c>
    </row>
    <row r="187" spans="14:19">
      <c r="N187">
        <v>186</v>
      </c>
      <c r="O187">
        <v>0</v>
      </c>
      <c r="P187">
        <v>14.023</v>
      </c>
      <c r="Q187">
        <v>12.231</v>
      </c>
      <c r="R187">
        <v>0</v>
      </c>
      <c r="S187">
        <v>1</v>
      </c>
    </row>
    <row r="188" spans="14:19">
      <c r="N188">
        <v>187</v>
      </c>
      <c r="O188">
        <v>0</v>
      </c>
      <c r="P188">
        <v>14.425000000000001</v>
      </c>
      <c r="Q188">
        <v>12.134</v>
      </c>
      <c r="R188">
        <v>0</v>
      </c>
      <c r="S188">
        <v>1</v>
      </c>
    </row>
    <row r="189" spans="14:19">
      <c r="N189">
        <v>188</v>
      </c>
      <c r="O189">
        <v>0</v>
      </c>
      <c r="P189">
        <v>14.773</v>
      </c>
      <c r="Q189">
        <v>11.884</v>
      </c>
      <c r="R189">
        <v>0</v>
      </c>
      <c r="S189">
        <v>1</v>
      </c>
    </row>
    <row r="190" spans="14:19">
      <c r="N190">
        <v>189</v>
      </c>
      <c r="O190">
        <v>0</v>
      </c>
      <c r="P190">
        <v>15.036</v>
      </c>
      <c r="Q190">
        <v>12.12</v>
      </c>
      <c r="R190">
        <v>0</v>
      </c>
      <c r="S190">
        <v>1</v>
      </c>
    </row>
    <row r="191" spans="14:19">
      <c r="N191">
        <v>190</v>
      </c>
      <c r="O191">
        <v>0</v>
      </c>
      <c r="P191">
        <v>16.37</v>
      </c>
      <c r="Q191">
        <v>11.356</v>
      </c>
      <c r="R191">
        <v>0</v>
      </c>
      <c r="S191">
        <v>1</v>
      </c>
    </row>
    <row r="192" spans="14:19">
      <c r="N192">
        <v>191</v>
      </c>
      <c r="O192">
        <v>0</v>
      </c>
      <c r="P192">
        <v>15.342000000000001</v>
      </c>
      <c r="Q192">
        <v>11.509</v>
      </c>
      <c r="R192">
        <v>0</v>
      </c>
      <c r="S192">
        <v>1</v>
      </c>
    </row>
    <row r="193" spans="14:19">
      <c r="N193">
        <v>192</v>
      </c>
      <c r="O193">
        <v>0</v>
      </c>
      <c r="P193">
        <v>14.202999999999999</v>
      </c>
      <c r="Q193">
        <v>11.606</v>
      </c>
      <c r="R193">
        <v>0</v>
      </c>
      <c r="S193">
        <v>1</v>
      </c>
    </row>
    <row r="194" spans="14:19">
      <c r="N194">
        <v>193</v>
      </c>
      <c r="O194">
        <v>0</v>
      </c>
      <c r="P194">
        <v>14.009</v>
      </c>
      <c r="Q194">
        <v>11.55</v>
      </c>
      <c r="R194">
        <v>0</v>
      </c>
      <c r="S194">
        <v>1</v>
      </c>
    </row>
    <row r="195" spans="14:19">
      <c r="N195">
        <v>194</v>
      </c>
      <c r="O195">
        <v>0</v>
      </c>
      <c r="P195">
        <v>14.439</v>
      </c>
      <c r="Q195">
        <v>11.342000000000001</v>
      </c>
      <c r="R195">
        <v>0</v>
      </c>
      <c r="S195">
        <v>1</v>
      </c>
    </row>
    <row r="196" spans="14:19">
      <c r="N196">
        <v>195</v>
      </c>
      <c r="O196">
        <v>0</v>
      </c>
      <c r="P196">
        <v>15.231</v>
      </c>
      <c r="Q196">
        <v>10.925000000000001</v>
      </c>
      <c r="R196">
        <v>0</v>
      </c>
      <c r="S196">
        <v>1</v>
      </c>
    </row>
    <row r="197" spans="14:19">
      <c r="N197">
        <v>196</v>
      </c>
      <c r="O197">
        <v>0</v>
      </c>
      <c r="P197">
        <v>15.55</v>
      </c>
      <c r="Q197">
        <v>11.148</v>
      </c>
      <c r="R197">
        <v>0</v>
      </c>
      <c r="S197">
        <v>1</v>
      </c>
    </row>
    <row r="198" spans="14:19">
      <c r="N198">
        <v>197</v>
      </c>
      <c r="O198">
        <v>0</v>
      </c>
      <c r="P198">
        <v>16.87</v>
      </c>
      <c r="Q198">
        <v>11.509</v>
      </c>
      <c r="R198">
        <v>0</v>
      </c>
      <c r="S198">
        <v>1</v>
      </c>
    </row>
    <row r="199" spans="14:19">
      <c r="N199">
        <v>198</v>
      </c>
      <c r="O199">
        <v>0</v>
      </c>
      <c r="P199">
        <v>17.106000000000002</v>
      </c>
      <c r="Q199">
        <v>11.175000000000001</v>
      </c>
      <c r="R199">
        <v>0</v>
      </c>
      <c r="S199">
        <v>1</v>
      </c>
    </row>
    <row r="200" spans="14:19">
      <c r="N200">
        <v>199</v>
      </c>
      <c r="O200">
        <v>0</v>
      </c>
      <c r="P200">
        <v>18.245000000000001</v>
      </c>
      <c r="Q200">
        <v>11.05</v>
      </c>
      <c r="R200">
        <v>0</v>
      </c>
      <c r="S200">
        <v>1</v>
      </c>
    </row>
    <row r="201" spans="14:19">
      <c r="N201">
        <v>200</v>
      </c>
      <c r="O201">
        <v>0</v>
      </c>
      <c r="P201">
        <v>18.509</v>
      </c>
      <c r="Q201">
        <v>11.452999999999999</v>
      </c>
      <c r="R201">
        <v>0</v>
      </c>
      <c r="S201">
        <v>1</v>
      </c>
    </row>
    <row r="202" spans="14:19">
      <c r="N202">
        <v>201</v>
      </c>
      <c r="O202">
        <v>0</v>
      </c>
      <c r="P202">
        <v>19.134</v>
      </c>
      <c r="Q202">
        <v>10.37</v>
      </c>
      <c r="R202">
        <v>0</v>
      </c>
      <c r="S202">
        <v>1</v>
      </c>
    </row>
    <row r="203" spans="14:19">
      <c r="N203">
        <v>202</v>
      </c>
      <c r="O203">
        <v>0</v>
      </c>
      <c r="P203">
        <v>18.773</v>
      </c>
      <c r="Q203">
        <v>10.119999999999999</v>
      </c>
      <c r="R203">
        <v>0</v>
      </c>
      <c r="S203">
        <v>1</v>
      </c>
    </row>
    <row r="204" spans="14:19">
      <c r="N204">
        <v>203</v>
      </c>
      <c r="O204">
        <v>0</v>
      </c>
      <c r="P204">
        <v>17.231000000000002</v>
      </c>
      <c r="Q204">
        <v>10.661</v>
      </c>
      <c r="R204">
        <v>0</v>
      </c>
      <c r="S204">
        <v>1</v>
      </c>
    </row>
    <row r="205" spans="14:19">
      <c r="N205">
        <v>204</v>
      </c>
      <c r="O205">
        <v>0</v>
      </c>
      <c r="P205">
        <v>16.87</v>
      </c>
      <c r="Q205">
        <v>10.744999999999999</v>
      </c>
      <c r="R205">
        <v>0</v>
      </c>
      <c r="S205">
        <v>1</v>
      </c>
    </row>
    <row r="206" spans="14:19">
      <c r="N206">
        <v>205</v>
      </c>
      <c r="O206">
        <v>0</v>
      </c>
      <c r="P206">
        <v>16.675000000000001</v>
      </c>
      <c r="Q206">
        <v>10.648</v>
      </c>
      <c r="R206">
        <v>0</v>
      </c>
      <c r="S206">
        <v>1</v>
      </c>
    </row>
    <row r="207" spans="14:19">
      <c r="N207">
        <v>206</v>
      </c>
      <c r="O207">
        <v>0</v>
      </c>
      <c r="P207">
        <v>16.661000000000001</v>
      </c>
      <c r="Q207">
        <v>10.314</v>
      </c>
      <c r="R207">
        <v>0</v>
      </c>
      <c r="S207">
        <v>1</v>
      </c>
    </row>
    <row r="208" spans="14:19">
      <c r="N208">
        <v>207</v>
      </c>
      <c r="O208">
        <v>0</v>
      </c>
      <c r="P208">
        <v>17.202999999999999</v>
      </c>
      <c r="Q208">
        <v>9.9529999999999994</v>
      </c>
      <c r="R208">
        <v>0</v>
      </c>
      <c r="S208">
        <v>1</v>
      </c>
    </row>
    <row r="209" spans="14:19">
      <c r="N209">
        <v>208</v>
      </c>
      <c r="O209">
        <v>0</v>
      </c>
      <c r="P209">
        <v>18.009</v>
      </c>
      <c r="Q209">
        <v>9.4250000000000007</v>
      </c>
      <c r="R209">
        <v>0</v>
      </c>
      <c r="S209">
        <v>1</v>
      </c>
    </row>
    <row r="210" spans="14:19">
      <c r="N210">
        <v>209</v>
      </c>
      <c r="O210">
        <v>0</v>
      </c>
      <c r="P210">
        <v>17.62</v>
      </c>
      <c r="Q210">
        <v>9.3979999999999997</v>
      </c>
      <c r="R210">
        <v>0</v>
      </c>
      <c r="S210">
        <v>1</v>
      </c>
    </row>
    <row r="211" spans="14:19">
      <c r="N211">
        <v>210</v>
      </c>
      <c r="O211">
        <v>0</v>
      </c>
      <c r="P211">
        <v>17.841999999999999</v>
      </c>
      <c r="Q211">
        <v>9.0920000000000005</v>
      </c>
      <c r="R211">
        <v>0</v>
      </c>
      <c r="S211">
        <v>1</v>
      </c>
    </row>
    <row r="212" spans="14:19">
      <c r="N212">
        <v>211</v>
      </c>
      <c r="O212">
        <v>0</v>
      </c>
      <c r="P212">
        <v>18.106000000000002</v>
      </c>
      <c r="Q212">
        <v>8.8979999999999997</v>
      </c>
      <c r="R212">
        <v>0</v>
      </c>
      <c r="S212">
        <v>1</v>
      </c>
    </row>
    <row r="213" spans="14:19">
      <c r="N213">
        <v>212</v>
      </c>
      <c r="O213">
        <v>0</v>
      </c>
      <c r="P213">
        <v>19.398</v>
      </c>
      <c r="Q213">
        <v>6.6479999999999997</v>
      </c>
      <c r="R213">
        <v>0</v>
      </c>
      <c r="S213">
        <v>1</v>
      </c>
    </row>
    <row r="214" spans="14:19">
      <c r="N214">
        <v>213</v>
      </c>
      <c r="O214">
        <v>0</v>
      </c>
      <c r="P214">
        <v>19.481000000000002</v>
      </c>
      <c r="Q214">
        <v>6.8979999999999997</v>
      </c>
      <c r="R214">
        <v>0</v>
      </c>
      <c r="S214">
        <v>1</v>
      </c>
    </row>
    <row r="215" spans="14:19">
      <c r="N215">
        <v>214</v>
      </c>
      <c r="O215">
        <v>0</v>
      </c>
      <c r="P215">
        <v>18.648</v>
      </c>
      <c r="Q215">
        <v>6.7169999999999996</v>
      </c>
      <c r="R215">
        <v>0</v>
      </c>
      <c r="S215">
        <v>1</v>
      </c>
    </row>
    <row r="216" spans="14:19">
      <c r="N216">
        <v>215</v>
      </c>
      <c r="O216">
        <v>0</v>
      </c>
      <c r="P216">
        <v>18.327999999999999</v>
      </c>
      <c r="Q216">
        <v>7.3280000000000003</v>
      </c>
      <c r="R216">
        <v>0</v>
      </c>
      <c r="S216">
        <v>1</v>
      </c>
    </row>
    <row r="217" spans="14:19">
      <c r="N217">
        <v>216</v>
      </c>
      <c r="O217">
        <v>0</v>
      </c>
      <c r="P217">
        <v>17.314</v>
      </c>
      <c r="Q217">
        <v>8.4109999999999996</v>
      </c>
      <c r="R217">
        <v>0</v>
      </c>
      <c r="S217">
        <v>1</v>
      </c>
    </row>
    <row r="218" spans="14:19">
      <c r="N218">
        <v>217</v>
      </c>
      <c r="O218">
        <v>0</v>
      </c>
      <c r="P218">
        <v>17.091999999999999</v>
      </c>
      <c r="Q218">
        <v>8.1609999999999996</v>
      </c>
      <c r="R218">
        <v>0</v>
      </c>
      <c r="S218">
        <v>1</v>
      </c>
    </row>
    <row r="219" spans="14:19">
      <c r="N219">
        <v>218</v>
      </c>
      <c r="O219">
        <v>0</v>
      </c>
      <c r="P219">
        <v>16.648</v>
      </c>
      <c r="Q219">
        <v>8.3559999999999999</v>
      </c>
      <c r="R219">
        <v>0</v>
      </c>
      <c r="S219">
        <v>1</v>
      </c>
    </row>
    <row r="220" spans="14:19">
      <c r="N220">
        <v>219</v>
      </c>
      <c r="O220">
        <v>0</v>
      </c>
      <c r="P220">
        <v>16.509</v>
      </c>
      <c r="Q220">
        <v>7.9809999999999999</v>
      </c>
      <c r="R220">
        <v>0</v>
      </c>
      <c r="S220">
        <v>1</v>
      </c>
    </row>
    <row r="221" spans="14:19">
      <c r="N221">
        <v>220</v>
      </c>
      <c r="O221">
        <v>0</v>
      </c>
      <c r="P221">
        <v>16.231000000000002</v>
      </c>
      <c r="Q221">
        <v>7.7309999999999999</v>
      </c>
      <c r="R221">
        <v>0</v>
      </c>
      <c r="S221">
        <v>1</v>
      </c>
    </row>
    <row r="222" spans="14:19">
      <c r="N222">
        <v>221</v>
      </c>
      <c r="O222">
        <v>0</v>
      </c>
      <c r="P222">
        <v>12.62</v>
      </c>
      <c r="Q222">
        <v>10.342000000000001</v>
      </c>
      <c r="R222">
        <v>0</v>
      </c>
      <c r="S222">
        <v>1</v>
      </c>
    </row>
    <row r="223" spans="14:19">
      <c r="N223">
        <v>222</v>
      </c>
      <c r="O223">
        <v>0</v>
      </c>
      <c r="P223">
        <v>12.952999999999999</v>
      </c>
      <c r="Q223">
        <v>10.842000000000001</v>
      </c>
      <c r="R223">
        <v>0</v>
      </c>
      <c r="S223">
        <v>1</v>
      </c>
    </row>
    <row r="224" spans="14:19">
      <c r="N224">
        <v>223</v>
      </c>
      <c r="O224">
        <v>0</v>
      </c>
      <c r="P224">
        <v>13.106</v>
      </c>
      <c r="Q224">
        <v>10.481</v>
      </c>
      <c r="R224">
        <v>0</v>
      </c>
      <c r="S224">
        <v>1</v>
      </c>
    </row>
    <row r="225" spans="14:19">
      <c r="N225">
        <v>224</v>
      </c>
      <c r="O225">
        <v>0</v>
      </c>
      <c r="P225">
        <v>13.009</v>
      </c>
      <c r="Q225">
        <v>10.092000000000001</v>
      </c>
      <c r="R225">
        <v>0</v>
      </c>
      <c r="S225">
        <v>1</v>
      </c>
    </row>
    <row r="226" spans="14:19">
      <c r="N226">
        <v>225</v>
      </c>
      <c r="O226">
        <v>0</v>
      </c>
      <c r="P226">
        <v>13.536</v>
      </c>
      <c r="Q226">
        <v>10.077999999999999</v>
      </c>
      <c r="R226">
        <v>0</v>
      </c>
      <c r="S226">
        <v>1</v>
      </c>
    </row>
    <row r="227" spans="14:19">
      <c r="N227">
        <v>226</v>
      </c>
      <c r="O227">
        <v>0</v>
      </c>
      <c r="P227">
        <v>13.786</v>
      </c>
      <c r="Q227">
        <v>10.259</v>
      </c>
      <c r="R227">
        <v>0</v>
      </c>
      <c r="S227">
        <v>1</v>
      </c>
    </row>
    <row r="228" spans="14:19">
      <c r="N228">
        <v>227</v>
      </c>
      <c r="O228">
        <v>0</v>
      </c>
      <c r="P228">
        <v>13.606</v>
      </c>
      <c r="Q228">
        <v>10.536</v>
      </c>
      <c r="R228">
        <v>0</v>
      </c>
      <c r="S228">
        <v>1</v>
      </c>
    </row>
    <row r="229" spans="14:19">
      <c r="N229">
        <v>228</v>
      </c>
      <c r="O229">
        <v>0</v>
      </c>
      <c r="P229">
        <v>13.967000000000001</v>
      </c>
      <c r="Q229">
        <v>10.661</v>
      </c>
      <c r="R229">
        <v>0</v>
      </c>
      <c r="S229">
        <v>1</v>
      </c>
    </row>
    <row r="230" spans="14:19">
      <c r="N230">
        <v>229</v>
      </c>
      <c r="O230">
        <v>0</v>
      </c>
      <c r="P230">
        <v>14.3</v>
      </c>
      <c r="Q230">
        <v>10.231</v>
      </c>
      <c r="R230">
        <v>0</v>
      </c>
      <c r="S230">
        <v>1</v>
      </c>
    </row>
    <row r="231" spans="14:19">
      <c r="N231">
        <v>230</v>
      </c>
      <c r="O231">
        <v>0</v>
      </c>
      <c r="P231">
        <v>14.036</v>
      </c>
      <c r="Q231">
        <v>9.9390000000000001</v>
      </c>
      <c r="R231">
        <v>0</v>
      </c>
      <c r="S231">
        <v>1</v>
      </c>
    </row>
    <row r="232" spans="14:19">
      <c r="N232">
        <v>231</v>
      </c>
      <c r="O232">
        <v>0</v>
      </c>
      <c r="P232">
        <v>13.439</v>
      </c>
      <c r="Q232">
        <v>9.8140000000000001</v>
      </c>
      <c r="R232">
        <v>0</v>
      </c>
      <c r="S232">
        <v>1</v>
      </c>
    </row>
    <row r="233" spans="14:19">
      <c r="N233">
        <v>232</v>
      </c>
      <c r="O233">
        <v>0</v>
      </c>
      <c r="P233">
        <v>13.592000000000001</v>
      </c>
      <c r="Q233">
        <v>9.6750000000000007</v>
      </c>
      <c r="R233">
        <v>0</v>
      </c>
      <c r="S233">
        <v>1</v>
      </c>
    </row>
    <row r="234" spans="14:19">
      <c r="N234">
        <v>233</v>
      </c>
      <c r="O234">
        <v>0</v>
      </c>
      <c r="P234">
        <v>14.467000000000001</v>
      </c>
      <c r="Q234">
        <v>9.5920000000000005</v>
      </c>
      <c r="R234">
        <v>0</v>
      </c>
      <c r="S234">
        <v>1</v>
      </c>
    </row>
    <row r="235" spans="14:19">
      <c r="N235">
        <v>234</v>
      </c>
      <c r="O235">
        <v>0</v>
      </c>
      <c r="P235">
        <v>14.675000000000001</v>
      </c>
      <c r="Q235">
        <v>9.8559999999999999</v>
      </c>
      <c r="R235">
        <v>0</v>
      </c>
      <c r="S235">
        <v>1</v>
      </c>
    </row>
    <row r="236" spans="14:19">
      <c r="N236">
        <v>235</v>
      </c>
      <c r="O236">
        <v>0</v>
      </c>
      <c r="P236">
        <v>14.939</v>
      </c>
      <c r="Q236">
        <v>9.9250000000000007</v>
      </c>
      <c r="R236">
        <v>0</v>
      </c>
      <c r="S236">
        <v>1</v>
      </c>
    </row>
    <row r="237" spans="14:19">
      <c r="N237">
        <v>236</v>
      </c>
      <c r="O237">
        <v>0</v>
      </c>
      <c r="P237">
        <v>15.327999999999999</v>
      </c>
      <c r="Q237">
        <v>9.9809999999999999</v>
      </c>
      <c r="R237">
        <v>0</v>
      </c>
      <c r="S237">
        <v>1</v>
      </c>
    </row>
    <row r="238" spans="14:19">
      <c r="N238">
        <v>237</v>
      </c>
      <c r="O238">
        <v>0</v>
      </c>
      <c r="P238">
        <v>15.244999999999999</v>
      </c>
      <c r="Q238">
        <v>9.6609999999999996</v>
      </c>
      <c r="R238">
        <v>0</v>
      </c>
      <c r="S238">
        <v>1</v>
      </c>
    </row>
    <row r="239" spans="14:19">
      <c r="N239">
        <v>238</v>
      </c>
      <c r="O239">
        <v>0</v>
      </c>
      <c r="P239">
        <v>15.452999999999999</v>
      </c>
      <c r="Q239">
        <v>9.4109999999999996</v>
      </c>
      <c r="R239">
        <v>0</v>
      </c>
      <c r="S239">
        <v>1</v>
      </c>
    </row>
    <row r="240" spans="14:19">
      <c r="N240">
        <v>239</v>
      </c>
      <c r="O240">
        <v>0</v>
      </c>
      <c r="P240">
        <v>15.273</v>
      </c>
      <c r="Q240">
        <v>9.1890000000000001</v>
      </c>
      <c r="R240">
        <v>0</v>
      </c>
      <c r="S240">
        <v>1</v>
      </c>
    </row>
    <row r="241" spans="14:19">
      <c r="N241">
        <v>240</v>
      </c>
      <c r="O241">
        <v>0</v>
      </c>
      <c r="P241">
        <v>15.898</v>
      </c>
      <c r="Q241">
        <v>8.9390000000000001</v>
      </c>
      <c r="R241">
        <v>0</v>
      </c>
      <c r="S241">
        <v>1</v>
      </c>
    </row>
    <row r="242" spans="14:19">
      <c r="N242">
        <v>241</v>
      </c>
      <c r="O242">
        <v>0</v>
      </c>
      <c r="P242">
        <v>14.327999999999999</v>
      </c>
      <c r="Q242">
        <v>9.0920000000000005</v>
      </c>
      <c r="R242">
        <v>0</v>
      </c>
      <c r="S242">
        <v>1</v>
      </c>
    </row>
    <row r="243" spans="14:19">
      <c r="N243">
        <v>242</v>
      </c>
      <c r="O243">
        <v>0</v>
      </c>
      <c r="P243">
        <v>14.106</v>
      </c>
      <c r="Q243">
        <v>9.2729999999999997</v>
      </c>
      <c r="R243">
        <v>0</v>
      </c>
      <c r="S243">
        <v>1</v>
      </c>
    </row>
    <row r="244" spans="14:19">
      <c r="N244">
        <v>243</v>
      </c>
      <c r="O244">
        <v>0</v>
      </c>
      <c r="P244">
        <v>13.898</v>
      </c>
      <c r="Q244">
        <v>9.0500000000000007</v>
      </c>
      <c r="R244">
        <v>0</v>
      </c>
      <c r="S244">
        <v>1</v>
      </c>
    </row>
    <row r="245" spans="14:19">
      <c r="N245">
        <v>244</v>
      </c>
      <c r="O245">
        <v>0</v>
      </c>
      <c r="P245">
        <v>13.577999999999999</v>
      </c>
      <c r="Q245">
        <v>9.0090000000000003</v>
      </c>
      <c r="R245">
        <v>0</v>
      </c>
      <c r="S245">
        <v>1</v>
      </c>
    </row>
    <row r="246" spans="14:19">
      <c r="N246">
        <v>245</v>
      </c>
      <c r="O246">
        <v>0</v>
      </c>
      <c r="P246">
        <v>13.356</v>
      </c>
      <c r="Q246">
        <v>8.7170000000000005</v>
      </c>
      <c r="R246">
        <v>0</v>
      </c>
      <c r="S246">
        <v>1</v>
      </c>
    </row>
    <row r="247" spans="14:19">
      <c r="N247">
        <v>246</v>
      </c>
      <c r="O247">
        <v>0</v>
      </c>
      <c r="P247">
        <v>13.523</v>
      </c>
      <c r="Q247">
        <v>8.6750000000000007</v>
      </c>
      <c r="R247">
        <v>0</v>
      </c>
      <c r="S247">
        <v>1</v>
      </c>
    </row>
    <row r="248" spans="14:19">
      <c r="N248">
        <v>247</v>
      </c>
      <c r="O248">
        <v>0</v>
      </c>
      <c r="P248">
        <v>14.064</v>
      </c>
      <c r="Q248">
        <v>8.5779999999999994</v>
      </c>
      <c r="R248">
        <v>0</v>
      </c>
      <c r="S248">
        <v>1</v>
      </c>
    </row>
    <row r="249" spans="14:19">
      <c r="N249">
        <v>248</v>
      </c>
      <c r="O249">
        <v>0</v>
      </c>
      <c r="P249">
        <v>14.452999999999999</v>
      </c>
      <c r="Q249">
        <v>8.3699999999999992</v>
      </c>
      <c r="R249">
        <v>0</v>
      </c>
      <c r="S249">
        <v>1</v>
      </c>
    </row>
    <row r="250" spans="14:19">
      <c r="N250">
        <v>249</v>
      </c>
      <c r="O250">
        <v>0</v>
      </c>
      <c r="P250">
        <v>13.481</v>
      </c>
      <c r="Q250">
        <v>8.4250000000000007</v>
      </c>
      <c r="R250">
        <v>0</v>
      </c>
      <c r="S250">
        <v>1</v>
      </c>
    </row>
    <row r="251" spans="14:19">
      <c r="N251">
        <v>250</v>
      </c>
      <c r="O251">
        <v>0</v>
      </c>
      <c r="P251">
        <v>13.37</v>
      </c>
      <c r="Q251">
        <v>8.3000000000000007</v>
      </c>
      <c r="R251">
        <v>0</v>
      </c>
      <c r="S251">
        <v>1</v>
      </c>
    </row>
    <row r="252" spans="14:19">
      <c r="N252">
        <v>251</v>
      </c>
      <c r="O252">
        <v>0</v>
      </c>
      <c r="P252">
        <v>13.023</v>
      </c>
      <c r="Q252">
        <v>8.3000000000000007</v>
      </c>
      <c r="R252">
        <v>0</v>
      </c>
      <c r="S252">
        <v>1</v>
      </c>
    </row>
    <row r="253" spans="14:19">
      <c r="N253">
        <v>252</v>
      </c>
      <c r="O253">
        <v>0</v>
      </c>
      <c r="P253">
        <v>12.092000000000001</v>
      </c>
      <c r="Q253">
        <v>8.0640000000000001</v>
      </c>
      <c r="R253">
        <v>0</v>
      </c>
      <c r="S253">
        <v>1</v>
      </c>
    </row>
    <row r="254" spans="14:19">
      <c r="N254">
        <v>253</v>
      </c>
      <c r="O254">
        <v>0</v>
      </c>
      <c r="P254">
        <v>13.494999999999999</v>
      </c>
      <c r="Q254">
        <v>8.0229999999999997</v>
      </c>
      <c r="R254">
        <v>0</v>
      </c>
      <c r="S254">
        <v>1</v>
      </c>
    </row>
    <row r="255" spans="14:19">
      <c r="N255">
        <v>254</v>
      </c>
      <c r="O255">
        <v>0</v>
      </c>
      <c r="P255">
        <v>13.577999999999999</v>
      </c>
      <c r="Q255">
        <v>7.6749999999999998</v>
      </c>
      <c r="R255">
        <v>0</v>
      </c>
      <c r="S255">
        <v>1</v>
      </c>
    </row>
    <row r="256" spans="14:19">
      <c r="N256">
        <v>255</v>
      </c>
      <c r="O256">
        <v>0</v>
      </c>
      <c r="P256">
        <v>14.286</v>
      </c>
      <c r="Q256">
        <v>7.6890000000000001</v>
      </c>
      <c r="R256">
        <v>0</v>
      </c>
      <c r="S256">
        <v>1</v>
      </c>
    </row>
    <row r="257" spans="14:19">
      <c r="N257">
        <v>256</v>
      </c>
      <c r="O257">
        <v>0</v>
      </c>
      <c r="P257">
        <v>14.148</v>
      </c>
      <c r="Q257">
        <v>7.9390000000000001</v>
      </c>
      <c r="R257">
        <v>0</v>
      </c>
      <c r="S257">
        <v>1</v>
      </c>
    </row>
    <row r="258" spans="14:19">
      <c r="N258">
        <v>257</v>
      </c>
      <c r="O258">
        <v>0</v>
      </c>
      <c r="P258">
        <v>14.994999999999999</v>
      </c>
      <c r="Q258">
        <v>7.9249999999999998</v>
      </c>
      <c r="R258">
        <v>0</v>
      </c>
      <c r="S258">
        <v>1</v>
      </c>
    </row>
    <row r="259" spans="14:19">
      <c r="N259">
        <v>258</v>
      </c>
      <c r="O259">
        <v>0</v>
      </c>
      <c r="P259">
        <v>15.425000000000001</v>
      </c>
      <c r="Q259">
        <v>7.6059999999999999</v>
      </c>
      <c r="R259">
        <v>0</v>
      </c>
      <c r="S259">
        <v>1</v>
      </c>
    </row>
    <row r="260" spans="14:19">
      <c r="N260">
        <v>259</v>
      </c>
      <c r="O260">
        <v>0</v>
      </c>
      <c r="P260">
        <v>15.577999999999999</v>
      </c>
      <c r="Q260">
        <v>7.3140000000000001</v>
      </c>
      <c r="R260">
        <v>0</v>
      </c>
      <c r="S260">
        <v>1</v>
      </c>
    </row>
    <row r="261" spans="14:19">
      <c r="N261">
        <v>260</v>
      </c>
      <c r="O261">
        <v>0</v>
      </c>
      <c r="P261">
        <v>15.286</v>
      </c>
      <c r="Q261">
        <v>6.8979999999999997</v>
      </c>
      <c r="R261">
        <v>0</v>
      </c>
      <c r="S261">
        <v>1</v>
      </c>
    </row>
    <row r="262" spans="14:19">
      <c r="N262">
        <v>261</v>
      </c>
      <c r="O262">
        <v>0</v>
      </c>
      <c r="P262">
        <v>15.202999999999999</v>
      </c>
      <c r="Q262">
        <v>6.62</v>
      </c>
      <c r="R262">
        <v>0</v>
      </c>
      <c r="S262">
        <v>1</v>
      </c>
    </row>
    <row r="263" spans="14:19">
      <c r="N263">
        <v>262</v>
      </c>
      <c r="O263">
        <v>0</v>
      </c>
      <c r="P263">
        <v>15.452999999999999</v>
      </c>
      <c r="Q263">
        <v>6.5359999999999996</v>
      </c>
      <c r="R263">
        <v>0</v>
      </c>
      <c r="S263">
        <v>1</v>
      </c>
    </row>
    <row r="264" spans="14:19">
      <c r="N264">
        <v>263</v>
      </c>
      <c r="O264">
        <v>0</v>
      </c>
      <c r="P264">
        <v>15.494999999999999</v>
      </c>
      <c r="Q264">
        <v>6.2030000000000003</v>
      </c>
      <c r="R264">
        <v>0</v>
      </c>
      <c r="S264">
        <v>1</v>
      </c>
    </row>
    <row r="265" spans="14:19">
      <c r="N265">
        <v>264</v>
      </c>
      <c r="O265">
        <v>0</v>
      </c>
      <c r="P265">
        <v>15.939</v>
      </c>
      <c r="Q265">
        <v>6.2450000000000001</v>
      </c>
      <c r="R265">
        <v>0</v>
      </c>
      <c r="S265">
        <v>1</v>
      </c>
    </row>
    <row r="266" spans="14:19">
      <c r="N266">
        <v>265</v>
      </c>
      <c r="O266">
        <v>0</v>
      </c>
      <c r="P266">
        <v>17.175000000000001</v>
      </c>
      <c r="Q266">
        <v>6.2309999999999999</v>
      </c>
      <c r="R266">
        <v>0</v>
      </c>
      <c r="S266">
        <v>1</v>
      </c>
    </row>
    <row r="267" spans="14:19">
      <c r="N267">
        <v>266</v>
      </c>
      <c r="O267">
        <v>0</v>
      </c>
      <c r="P267">
        <v>16.398</v>
      </c>
      <c r="Q267">
        <v>7.55</v>
      </c>
      <c r="R267">
        <v>0</v>
      </c>
      <c r="S267">
        <v>1</v>
      </c>
    </row>
    <row r="268" spans="14:19">
      <c r="N268">
        <v>267</v>
      </c>
      <c r="O268">
        <v>0</v>
      </c>
      <c r="P268">
        <v>16.634</v>
      </c>
      <c r="Q268">
        <v>5.55</v>
      </c>
      <c r="R268">
        <v>0</v>
      </c>
      <c r="S268">
        <v>1</v>
      </c>
    </row>
    <row r="269" spans="14:19">
      <c r="N269">
        <v>268</v>
      </c>
      <c r="O269">
        <v>0</v>
      </c>
      <c r="P269">
        <v>16.398</v>
      </c>
      <c r="Q269">
        <v>4.4390000000000001</v>
      </c>
      <c r="R269">
        <v>0</v>
      </c>
      <c r="S269">
        <v>1</v>
      </c>
    </row>
    <row r="270" spans="14:19">
      <c r="N270">
        <v>269</v>
      </c>
      <c r="O270">
        <v>0</v>
      </c>
      <c r="P270">
        <v>15.675000000000001</v>
      </c>
      <c r="Q270">
        <v>4.4109999999999996</v>
      </c>
      <c r="R270">
        <v>0</v>
      </c>
      <c r="S270">
        <v>1</v>
      </c>
    </row>
    <row r="271" spans="14:19">
      <c r="N271">
        <v>270</v>
      </c>
      <c r="O271">
        <v>0</v>
      </c>
      <c r="P271">
        <v>15.009</v>
      </c>
      <c r="Q271">
        <v>3.7029999999999998</v>
      </c>
      <c r="R271">
        <v>0</v>
      </c>
      <c r="S271">
        <v>1</v>
      </c>
    </row>
    <row r="272" spans="14:19">
      <c r="N272">
        <v>271</v>
      </c>
      <c r="O272">
        <v>0</v>
      </c>
      <c r="P272">
        <v>14.827999999999999</v>
      </c>
      <c r="Q272">
        <v>3.286</v>
      </c>
      <c r="R272">
        <v>0</v>
      </c>
      <c r="S272">
        <v>1</v>
      </c>
    </row>
    <row r="273" spans="14:19">
      <c r="N273">
        <v>272</v>
      </c>
      <c r="O273">
        <v>0</v>
      </c>
      <c r="P273">
        <v>15.244999999999999</v>
      </c>
      <c r="Q273">
        <v>3.411</v>
      </c>
      <c r="R273">
        <v>0</v>
      </c>
      <c r="S273">
        <v>1</v>
      </c>
    </row>
    <row r="274" spans="14:19">
      <c r="N274">
        <v>273</v>
      </c>
      <c r="O274">
        <v>0</v>
      </c>
      <c r="P274">
        <v>12.05</v>
      </c>
      <c r="Q274">
        <v>2.6749999999999998</v>
      </c>
      <c r="R274">
        <v>0</v>
      </c>
      <c r="S274">
        <v>1</v>
      </c>
    </row>
    <row r="275" spans="14:19">
      <c r="N275">
        <v>274</v>
      </c>
      <c r="O275">
        <v>0</v>
      </c>
      <c r="P275">
        <v>3.4670000000000001</v>
      </c>
      <c r="Q275">
        <v>0.48099999999999998</v>
      </c>
      <c r="R275">
        <v>0</v>
      </c>
      <c r="S275">
        <v>1</v>
      </c>
    </row>
    <row r="276" spans="14:19">
      <c r="N276">
        <v>275</v>
      </c>
      <c r="O276">
        <v>0</v>
      </c>
      <c r="P276">
        <v>3.8839999999999999</v>
      </c>
      <c r="Q276">
        <v>6.8</v>
      </c>
      <c r="R276">
        <v>0</v>
      </c>
      <c r="S276">
        <v>64</v>
      </c>
    </row>
    <row r="277" spans="14:19">
      <c r="N277">
        <v>276</v>
      </c>
      <c r="O277">
        <v>0</v>
      </c>
      <c r="P277">
        <v>5.9390000000000001</v>
      </c>
      <c r="Q277">
        <v>6.2590000000000003</v>
      </c>
      <c r="R277">
        <v>0</v>
      </c>
      <c r="S277">
        <v>64</v>
      </c>
    </row>
    <row r="278" spans="14:19">
      <c r="N278">
        <v>277</v>
      </c>
      <c r="O278">
        <v>0</v>
      </c>
      <c r="P278">
        <v>5.9950000000000001</v>
      </c>
      <c r="Q278">
        <v>3.8279999999999998</v>
      </c>
      <c r="R278">
        <v>0</v>
      </c>
      <c r="S278">
        <v>64</v>
      </c>
    </row>
    <row r="279" spans="14:19">
      <c r="N279">
        <v>278</v>
      </c>
      <c r="O279">
        <v>0</v>
      </c>
      <c r="P279">
        <v>6.3280000000000003</v>
      </c>
      <c r="Q279">
        <v>3.8420000000000001</v>
      </c>
      <c r="R279">
        <v>0</v>
      </c>
      <c r="S279">
        <v>64</v>
      </c>
    </row>
    <row r="280" spans="14:19">
      <c r="N280">
        <v>279</v>
      </c>
      <c r="O280">
        <v>0</v>
      </c>
      <c r="P280">
        <v>7.9109999999999996</v>
      </c>
      <c r="Q280">
        <v>11.884</v>
      </c>
      <c r="R280">
        <v>0</v>
      </c>
      <c r="S280">
        <v>64</v>
      </c>
    </row>
    <row r="281" spans="14:19">
      <c r="N281">
        <v>280</v>
      </c>
      <c r="O281">
        <v>0</v>
      </c>
      <c r="P281">
        <v>8.4390000000000001</v>
      </c>
      <c r="Q281">
        <v>11.55</v>
      </c>
      <c r="R281">
        <v>0</v>
      </c>
      <c r="S281">
        <v>64</v>
      </c>
    </row>
    <row r="282" spans="14:19">
      <c r="N282">
        <v>281</v>
      </c>
      <c r="O282">
        <v>0</v>
      </c>
      <c r="P282">
        <v>8.3979999999999997</v>
      </c>
      <c r="Q282">
        <v>10.509</v>
      </c>
      <c r="R282">
        <v>0</v>
      </c>
      <c r="S282">
        <v>64</v>
      </c>
    </row>
    <row r="283" spans="14:19">
      <c r="N283">
        <v>282</v>
      </c>
      <c r="O283">
        <v>0</v>
      </c>
      <c r="P283">
        <v>13.314</v>
      </c>
      <c r="Q283">
        <v>9.6890000000000001</v>
      </c>
      <c r="R283">
        <v>0</v>
      </c>
      <c r="S283">
        <v>64</v>
      </c>
    </row>
    <row r="284" spans="14:19">
      <c r="N284">
        <v>283</v>
      </c>
      <c r="O284">
        <v>0</v>
      </c>
      <c r="P284">
        <v>7.05</v>
      </c>
      <c r="Q284">
        <v>9.4670000000000005</v>
      </c>
      <c r="R284">
        <v>0</v>
      </c>
      <c r="S284">
        <v>64</v>
      </c>
    </row>
    <row r="285" spans="14:19">
      <c r="N285">
        <v>284</v>
      </c>
      <c r="O285">
        <v>0</v>
      </c>
      <c r="P285">
        <v>8.6479999999999997</v>
      </c>
      <c r="Q285">
        <v>3.786</v>
      </c>
      <c r="R285">
        <v>0</v>
      </c>
      <c r="S285">
        <v>64</v>
      </c>
    </row>
    <row r="286" spans="14:19">
      <c r="N286">
        <v>285</v>
      </c>
      <c r="O286">
        <v>0</v>
      </c>
      <c r="P286">
        <v>10.425000000000001</v>
      </c>
      <c r="Q286">
        <v>3.8</v>
      </c>
      <c r="R286">
        <v>0</v>
      </c>
      <c r="S286">
        <v>64</v>
      </c>
    </row>
    <row r="287" spans="14:19">
      <c r="N287">
        <v>286</v>
      </c>
      <c r="O287">
        <v>0</v>
      </c>
      <c r="P287">
        <v>16.745000000000001</v>
      </c>
      <c r="Q287">
        <v>11.009</v>
      </c>
      <c r="R287">
        <v>0</v>
      </c>
      <c r="S287">
        <v>64</v>
      </c>
    </row>
    <row r="288" spans="14:19">
      <c r="N288">
        <v>287</v>
      </c>
      <c r="O288">
        <v>0</v>
      </c>
      <c r="P288">
        <v>1.8979999999999999</v>
      </c>
      <c r="Q288">
        <v>0.28599999999999998</v>
      </c>
      <c r="R288">
        <v>0</v>
      </c>
      <c r="S288">
        <v>2</v>
      </c>
    </row>
    <row r="289" spans="14:19">
      <c r="N289">
        <v>288</v>
      </c>
      <c r="O289">
        <v>0</v>
      </c>
      <c r="P289">
        <v>1.4670000000000001</v>
      </c>
      <c r="Q289">
        <v>0.28599999999999998</v>
      </c>
      <c r="R289">
        <v>0</v>
      </c>
      <c r="S289">
        <v>2</v>
      </c>
    </row>
    <row r="290" spans="14:19">
      <c r="N290">
        <v>289</v>
      </c>
      <c r="O290">
        <v>0</v>
      </c>
      <c r="P290">
        <v>0.89800000000000002</v>
      </c>
      <c r="Q290">
        <v>0.17499999999999999</v>
      </c>
      <c r="R290">
        <v>0</v>
      </c>
      <c r="S290">
        <v>2</v>
      </c>
    </row>
    <row r="291" spans="14:19">
      <c r="N291">
        <v>290</v>
      </c>
      <c r="O291">
        <v>0</v>
      </c>
      <c r="P291">
        <v>0.45300000000000001</v>
      </c>
      <c r="Q291">
        <v>0.245</v>
      </c>
      <c r="R291">
        <v>0</v>
      </c>
      <c r="S291">
        <v>2</v>
      </c>
    </row>
    <row r="292" spans="14:19">
      <c r="N292">
        <v>291</v>
      </c>
      <c r="O292">
        <v>0</v>
      </c>
      <c r="P292">
        <v>1.3140000000000001</v>
      </c>
      <c r="Q292">
        <v>0.96699999999999997</v>
      </c>
      <c r="R292">
        <v>0</v>
      </c>
      <c r="S292">
        <v>2</v>
      </c>
    </row>
    <row r="293" spans="14:19">
      <c r="N293">
        <v>292</v>
      </c>
      <c r="O293">
        <v>0</v>
      </c>
      <c r="P293">
        <v>0.92500000000000004</v>
      </c>
      <c r="Q293">
        <v>0.95299999999999996</v>
      </c>
      <c r="R293">
        <v>0</v>
      </c>
      <c r="S293">
        <v>2</v>
      </c>
    </row>
    <row r="294" spans="14:19">
      <c r="N294">
        <v>293</v>
      </c>
      <c r="O294">
        <v>0</v>
      </c>
      <c r="P294">
        <v>1.0640000000000001</v>
      </c>
      <c r="Q294">
        <v>0.82799999999999996</v>
      </c>
      <c r="R294">
        <v>0</v>
      </c>
      <c r="S294">
        <v>2</v>
      </c>
    </row>
    <row r="295" spans="14:19">
      <c r="N295">
        <v>294</v>
      </c>
      <c r="O295">
        <v>0</v>
      </c>
      <c r="P295">
        <v>0.92500000000000004</v>
      </c>
      <c r="Q295">
        <v>1.3839999999999999</v>
      </c>
      <c r="R295">
        <v>0</v>
      </c>
      <c r="S295">
        <v>2</v>
      </c>
    </row>
    <row r="296" spans="14:19">
      <c r="N296">
        <v>295</v>
      </c>
      <c r="O296">
        <v>0</v>
      </c>
      <c r="P296">
        <v>1.1200000000000001</v>
      </c>
      <c r="Q296">
        <v>1.5780000000000001</v>
      </c>
      <c r="R296">
        <v>0</v>
      </c>
      <c r="S296">
        <v>2</v>
      </c>
    </row>
    <row r="297" spans="14:19">
      <c r="N297">
        <v>296</v>
      </c>
      <c r="O297">
        <v>0</v>
      </c>
      <c r="P297">
        <v>1.7310000000000001</v>
      </c>
      <c r="Q297">
        <v>1.7589999999999999</v>
      </c>
      <c r="R297">
        <v>0</v>
      </c>
      <c r="S297">
        <v>2</v>
      </c>
    </row>
    <row r="298" spans="14:19">
      <c r="N298">
        <v>297</v>
      </c>
      <c r="O298">
        <v>0</v>
      </c>
      <c r="P298">
        <v>2.2999999999999998</v>
      </c>
      <c r="Q298">
        <v>1.5920000000000001</v>
      </c>
      <c r="R298">
        <v>0</v>
      </c>
      <c r="S298">
        <v>2</v>
      </c>
    </row>
    <row r="299" spans="14:19">
      <c r="N299">
        <v>298</v>
      </c>
      <c r="O299">
        <v>0</v>
      </c>
      <c r="P299">
        <v>3.2730000000000001</v>
      </c>
      <c r="Q299">
        <v>1.6339999999999999</v>
      </c>
      <c r="R299">
        <v>0</v>
      </c>
      <c r="S299">
        <v>2</v>
      </c>
    </row>
    <row r="300" spans="14:19">
      <c r="N300">
        <v>299</v>
      </c>
      <c r="O300">
        <v>0</v>
      </c>
      <c r="P300">
        <v>3.7170000000000001</v>
      </c>
      <c r="Q300">
        <v>0.42499999999999999</v>
      </c>
      <c r="R300">
        <v>0</v>
      </c>
      <c r="S300">
        <v>2</v>
      </c>
    </row>
    <row r="301" spans="14:19">
      <c r="N301">
        <v>300</v>
      </c>
      <c r="O301">
        <v>0</v>
      </c>
      <c r="P301">
        <v>6.4950000000000001</v>
      </c>
      <c r="Q301">
        <v>0.57799999999999996</v>
      </c>
      <c r="R301">
        <v>0</v>
      </c>
      <c r="S301">
        <v>2</v>
      </c>
    </row>
    <row r="302" spans="14:19">
      <c r="N302">
        <v>301</v>
      </c>
      <c r="O302">
        <v>0</v>
      </c>
      <c r="P302">
        <v>4.5640000000000001</v>
      </c>
      <c r="Q302">
        <v>2.0920000000000001</v>
      </c>
      <c r="R302">
        <v>0</v>
      </c>
      <c r="S302">
        <v>2</v>
      </c>
    </row>
    <row r="303" spans="14:19">
      <c r="N303">
        <v>302</v>
      </c>
      <c r="O303">
        <v>0</v>
      </c>
      <c r="P303">
        <v>5.1609999999999996</v>
      </c>
      <c r="Q303">
        <v>2.2309999999999999</v>
      </c>
      <c r="R303">
        <v>0</v>
      </c>
      <c r="S303">
        <v>2</v>
      </c>
    </row>
    <row r="304" spans="14:19">
      <c r="N304">
        <v>303</v>
      </c>
      <c r="O304">
        <v>0</v>
      </c>
      <c r="P304">
        <v>5.3</v>
      </c>
      <c r="Q304">
        <v>2.4390000000000001</v>
      </c>
      <c r="R304">
        <v>0</v>
      </c>
      <c r="S304">
        <v>2</v>
      </c>
    </row>
    <row r="305" spans="14:19">
      <c r="N305">
        <v>304</v>
      </c>
      <c r="O305">
        <v>0</v>
      </c>
      <c r="P305">
        <v>5.5229999999999997</v>
      </c>
      <c r="Q305">
        <v>2.5920000000000001</v>
      </c>
      <c r="R305">
        <v>0</v>
      </c>
      <c r="S305">
        <v>2</v>
      </c>
    </row>
    <row r="306" spans="14:19">
      <c r="N306">
        <v>305</v>
      </c>
      <c r="O306">
        <v>0</v>
      </c>
      <c r="P306">
        <v>5.8419999999999996</v>
      </c>
      <c r="Q306">
        <v>2.3980000000000001</v>
      </c>
      <c r="R306">
        <v>0</v>
      </c>
      <c r="S306">
        <v>2</v>
      </c>
    </row>
    <row r="307" spans="14:19">
      <c r="N307">
        <v>306</v>
      </c>
      <c r="O307">
        <v>0</v>
      </c>
      <c r="P307">
        <v>5.7030000000000003</v>
      </c>
      <c r="Q307">
        <v>2.1480000000000001</v>
      </c>
      <c r="R307">
        <v>0</v>
      </c>
      <c r="S307">
        <v>2</v>
      </c>
    </row>
    <row r="308" spans="14:19">
      <c r="N308">
        <v>307</v>
      </c>
      <c r="O308">
        <v>0</v>
      </c>
      <c r="P308">
        <v>6.62</v>
      </c>
      <c r="Q308">
        <v>1.4670000000000001</v>
      </c>
      <c r="R308">
        <v>0</v>
      </c>
      <c r="S308">
        <v>2</v>
      </c>
    </row>
    <row r="309" spans="14:19">
      <c r="N309">
        <v>308</v>
      </c>
      <c r="O309">
        <v>0</v>
      </c>
      <c r="P309">
        <v>7.4530000000000003</v>
      </c>
      <c r="Q309">
        <v>1.8280000000000001</v>
      </c>
      <c r="R309">
        <v>0</v>
      </c>
      <c r="S309">
        <v>2</v>
      </c>
    </row>
    <row r="310" spans="14:19">
      <c r="N310">
        <v>309</v>
      </c>
      <c r="O310">
        <v>0</v>
      </c>
      <c r="P310">
        <v>8.1199999999999992</v>
      </c>
      <c r="Q310">
        <v>1.5640000000000001</v>
      </c>
      <c r="R310">
        <v>0</v>
      </c>
      <c r="S310">
        <v>2</v>
      </c>
    </row>
    <row r="311" spans="14:19">
      <c r="N311">
        <v>310</v>
      </c>
      <c r="O311">
        <v>0</v>
      </c>
      <c r="P311">
        <v>7.9530000000000003</v>
      </c>
      <c r="Q311">
        <v>2.3559999999999999</v>
      </c>
      <c r="R311">
        <v>0</v>
      </c>
      <c r="S311">
        <v>2</v>
      </c>
    </row>
    <row r="312" spans="14:19">
      <c r="N312">
        <v>311</v>
      </c>
      <c r="O312">
        <v>0</v>
      </c>
      <c r="P312">
        <v>6.4809999999999999</v>
      </c>
      <c r="Q312">
        <v>2.8420000000000001</v>
      </c>
      <c r="R312">
        <v>0</v>
      </c>
      <c r="S312">
        <v>2</v>
      </c>
    </row>
    <row r="313" spans="14:19">
      <c r="N313">
        <v>312</v>
      </c>
      <c r="O313">
        <v>0</v>
      </c>
      <c r="P313">
        <v>6.4249999999999998</v>
      </c>
      <c r="Q313">
        <v>3.3279999999999998</v>
      </c>
      <c r="R313">
        <v>0</v>
      </c>
      <c r="S313">
        <v>2</v>
      </c>
    </row>
    <row r="314" spans="14:19">
      <c r="N314">
        <v>313</v>
      </c>
      <c r="O314">
        <v>0</v>
      </c>
      <c r="P314">
        <v>3.87</v>
      </c>
      <c r="Q314">
        <v>3.37</v>
      </c>
      <c r="R314">
        <v>0</v>
      </c>
      <c r="S314">
        <v>2</v>
      </c>
    </row>
    <row r="315" spans="14:19">
      <c r="N315">
        <v>314</v>
      </c>
      <c r="O315">
        <v>0</v>
      </c>
      <c r="P315">
        <v>3.5089999999999999</v>
      </c>
      <c r="Q315">
        <v>3.6480000000000001</v>
      </c>
      <c r="R315">
        <v>0</v>
      </c>
      <c r="S315">
        <v>2</v>
      </c>
    </row>
    <row r="316" spans="14:19">
      <c r="N316">
        <v>315</v>
      </c>
      <c r="O316">
        <v>0</v>
      </c>
      <c r="P316">
        <v>2.8140000000000001</v>
      </c>
      <c r="Q316">
        <v>3.2309999999999999</v>
      </c>
      <c r="R316">
        <v>0</v>
      </c>
      <c r="S316">
        <v>2</v>
      </c>
    </row>
    <row r="317" spans="14:19">
      <c r="N317">
        <v>316</v>
      </c>
      <c r="O317">
        <v>0</v>
      </c>
      <c r="P317">
        <v>3.161</v>
      </c>
      <c r="Q317">
        <v>3.8559999999999999</v>
      </c>
      <c r="R317">
        <v>0</v>
      </c>
      <c r="S317">
        <v>2</v>
      </c>
    </row>
    <row r="318" spans="14:19">
      <c r="N318">
        <v>317</v>
      </c>
      <c r="O318">
        <v>0</v>
      </c>
      <c r="P318">
        <v>3.7029999999999998</v>
      </c>
      <c r="Q318">
        <v>4.3979999999999997</v>
      </c>
      <c r="R318">
        <v>0</v>
      </c>
      <c r="S318">
        <v>2</v>
      </c>
    </row>
    <row r="319" spans="14:19">
      <c r="N319">
        <v>318</v>
      </c>
      <c r="O319">
        <v>0</v>
      </c>
      <c r="P319">
        <v>3.9249999999999998</v>
      </c>
      <c r="Q319">
        <v>4.0229999999999997</v>
      </c>
      <c r="R319">
        <v>0</v>
      </c>
      <c r="S319">
        <v>2</v>
      </c>
    </row>
    <row r="320" spans="14:19">
      <c r="N320">
        <v>319</v>
      </c>
      <c r="O320">
        <v>0</v>
      </c>
      <c r="P320">
        <v>4.3840000000000003</v>
      </c>
      <c r="Q320">
        <v>4.3280000000000003</v>
      </c>
      <c r="R320">
        <v>0</v>
      </c>
      <c r="S320">
        <v>2</v>
      </c>
    </row>
    <row r="321" spans="14:19">
      <c r="N321">
        <v>320</v>
      </c>
      <c r="O321">
        <v>0</v>
      </c>
      <c r="P321">
        <v>4.7309999999999999</v>
      </c>
      <c r="Q321">
        <v>4.5919999999999996</v>
      </c>
      <c r="R321">
        <v>0</v>
      </c>
      <c r="S321">
        <v>2</v>
      </c>
    </row>
    <row r="322" spans="14:19">
      <c r="N322">
        <v>321</v>
      </c>
      <c r="O322">
        <v>0</v>
      </c>
      <c r="P322">
        <v>5.1340000000000003</v>
      </c>
      <c r="Q322">
        <v>4.5780000000000003</v>
      </c>
      <c r="R322">
        <v>0</v>
      </c>
      <c r="S322">
        <v>2</v>
      </c>
    </row>
    <row r="323" spans="14:19">
      <c r="N323">
        <v>322</v>
      </c>
      <c r="O323">
        <v>0</v>
      </c>
      <c r="P323">
        <v>5.0780000000000003</v>
      </c>
      <c r="Q323">
        <v>4.2030000000000003</v>
      </c>
      <c r="R323">
        <v>0</v>
      </c>
      <c r="S323">
        <v>2</v>
      </c>
    </row>
    <row r="324" spans="14:19">
      <c r="N324">
        <v>323</v>
      </c>
      <c r="O324">
        <v>0</v>
      </c>
      <c r="P324">
        <v>4.4390000000000001</v>
      </c>
      <c r="Q324">
        <v>5.0359999999999996</v>
      </c>
      <c r="R324">
        <v>0</v>
      </c>
      <c r="S324">
        <v>2</v>
      </c>
    </row>
    <row r="325" spans="14:19">
      <c r="N325">
        <v>324</v>
      </c>
      <c r="O325">
        <v>0</v>
      </c>
      <c r="P325">
        <v>3.8420000000000001</v>
      </c>
      <c r="Q325">
        <v>5.0780000000000003</v>
      </c>
      <c r="R325">
        <v>0</v>
      </c>
      <c r="S325">
        <v>2</v>
      </c>
    </row>
    <row r="326" spans="14:19">
      <c r="N326">
        <v>325</v>
      </c>
      <c r="O326">
        <v>0</v>
      </c>
      <c r="P326">
        <v>3.8140000000000001</v>
      </c>
      <c r="Q326">
        <v>5.2859999999999996</v>
      </c>
      <c r="R326">
        <v>0</v>
      </c>
      <c r="S326">
        <v>2</v>
      </c>
    </row>
    <row r="327" spans="14:19">
      <c r="N327">
        <v>326</v>
      </c>
      <c r="O327">
        <v>0</v>
      </c>
      <c r="P327">
        <v>3.4950000000000001</v>
      </c>
      <c r="Q327">
        <v>5.3840000000000003</v>
      </c>
      <c r="R327">
        <v>0</v>
      </c>
      <c r="S327">
        <v>2</v>
      </c>
    </row>
    <row r="328" spans="14:19">
      <c r="N328">
        <v>327</v>
      </c>
      <c r="O328">
        <v>0</v>
      </c>
      <c r="P328">
        <v>3.6339999999999999</v>
      </c>
      <c r="Q328">
        <v>5.5359999999999996</v>
      </c>
      <c r="R328">
        <v>0</v>
      </c>
      <c r="S328">
        <v>2</v>
      </c>
    </row>
    <row r="329" spans="14:19">
      <c r="N329">
        <v>328</v>
      </c>
      <c r="O329">
        <v>0</v>
      </c>
      <c r="P329">
        <v>3.161</v>
      </c>
      <c r="Q329">
        <v>5.62</v>
      </c>
      <c r="R329">
        <v>0</v>
      </c>
      <c r="S329">
        <v>2</v>
      </c>
    </row>
    <row r="330" spans="14:19">
      <c r="N330">
        <v>329</v>
      </c>
      <c r="O330">
        <v>0</v>
      </c>
      <c r="P330">
        <v>1.4670000000000001</v>
      </c>
      <c r="Q330">
        <v>5.1890000000000001</v>
      </c>
      <c r="R330">
        <v>0</v>
      </c>
      <c r="S330">
        <v>2</v>
      </c>
    </row>
    <row r="331" spans="14:19">
      <c r="N331">
        <v>330</v>
      </c>
      <c r="O331">
        <v>0</v>
      </c>
      <c r="P331">
        <v>1.0920000000000001</v>
      </c>
      <c r="Q331">
        <v>5.0640000000000001</v>
      </c>
      <c r="R331">
        <v>0</v>
      </c>
      <c r="S331">
        <v>2</v>
      </c>
    </row>
    <row r="332" spans="14:19">
      <c r="N332">
        <v>331</v>
      </c>
      <c r="O332">
        <v>0</v>
      </c>
      <c r="P332">
        <v>0.495</v>
      </c>
      <c r="Q332">
        <v>4.7450000000000001</v>
      </c>
      <c r="R332">
        <v>0</v>
      </c>
      <c r="S332">
        <v>2</v>
      </c>
    </row>
    <row r="333" spans="14:19">
      <c r="N333">
        <v>332</v>
      </c>
      <c r="O333">
        <v>0</v>
      </c>
      <c r="P333">
        <v>0.25900000000000001</v>
      </c>
      <c r="Q333">
        <v>4.4390000000000001</v>
      </c>
      <c r="R333">
        <v>0</v>
      </c>
      <c r="S333">
        <v>2</v>
      </c>
    </row>
    <row r="334" spans="14:19">
      <c r="N334">
        <v>333</v>
      </c>
      <c r="O334">
        <v>0</v>
      </c>
      <c r="P334">
        <v>2.1059999999999999</v>
      </c>
      <c r="Q334">
        <v>6.3140000000000001</v>
      </c>
      <c r="R334">
        <v>0</v>
      </c>
      <c r="S334">
        <v>2</v>
      </c>
    </row>
    <row r="335" spans="14:19">
      <c r="N335">
        <v>334</v>
      </c>
      <c r="O335">
        <v>0</v>
      </c>
      <c r="P335">
        <v>3.5640000000000001</v>
      </c>
      <c r="Q335">
        <v>6.0090000000000003</v>
      </c>
      <c r="R335">
        <v>0</v>
      </c>
      <c r="S335">
        <v>2</v>
      </c>
    </row>
    <row r="336" spans="14:19">
      <c r="N336">
        <v>335</v>
      </c>
      <c r="O336">
        <v>0</v>
      </c>
      <c r="P336">
        <v>4.7030000000000003</v>
      </c>
      <c r="Q336">
        <v>5.4390000000000001</v>
      </c>
      <c r="R336">
        <v>0</v>
      </c>
      <c r="S336">
        <v>2</v>
      </c>
    </row>
    <row r="337" spans="14:19">
      <c r="N337">
        <v>336</v>
      </c>
      <c r="O337">
        <v>0</v>
      </c>
      <c r="P337">
        <v>4.4530000000000003</v>
      </c>
      <c r="Q337">
        <v>5.62</v>
      </c>
      <c r="R337">
        <v>0</v>
      </c>
      <c r="S337">
        <v>2</v>
      </c>
    </row>
    <row r="338" spans="14:19">
      <c r="N338">
        <v>337</v>
      </c>
      <c r="O338">
        <v>0</v>
      </c>
      <c r="P338">
        <v>4.6340000000000003</v>
      </c>
      <c r="Q338">
        <v>5.9530000000000003</v>
      </c>
      <c r="R338">
        <v>0</v>
      </c>
      <c r="S338">
        <v>2</v>
      </c>
    </row>
    <row r="339" spans="14:19">
      <c r="N339">
        <v>338</v>
      </c>
      <c r="O339">
        <v>0</v>
      </c>
      <c r="P339">
        <v>5.1749999999999998</v>
      </c>
      <c r="Q339">
        <v>5.8979999999999997</v>
      </c>
      <c r="R339">
        <v>0</v>
      </c>
      <c r="S339">
        <v>2</v>
      </c>
    </row>
    <row r="340" spans="14:19">
      <c r="N340">
        <v>339</v>
      </c>
      <c r="O340">
        <v>0</v>
      </c>
      <c r="P340">
        <v>4.0090000000000003</v>
      </c>
      <c r="Q340">
        <v>5.8140000000000001</v>
      </c>
      <c r="R340">
        <v>0</v>
      </c>
      <c r="S340">
        <v>2</v>
      </c>
    </row>
    <row r="341" spans="14:19">
      <c r="N341">
        <v>340</v>
      </c>
      <c r="O341">
        <v>0</v>
      </c>
      <c r="P341">
        <v>4.0090000000000003</v>
      </c>
      <c r="Q341">
        <v>6.0090000000000003</v>
      </c>
      <c r="R341">
        <v>0</v>
      </c>
      <c r="S341">
        <v>2</v>
      </c>
    </row>
    <row r="342" spans="14:19">
      <c r="N342">
        <v>341</v>
      </c>
      <c r="O342">
        <v>0</v>
      </c>
      <c r="P342">
        <v>4.3280000000000003</v>
      </c>
      <c r="Q342">
        <v>6.1340000000000003</v>
      </c>
      <c r="R342">
        <v>0</v>
      </c>
      <c r="S342">
        <v>2</v>
      </c>
    </row>
    <row r="343" spans="14:19">
      <c r="N343">
        <v>342</v>
      </c>
      <c r="O343">
        <v>0</v>
      </c>
      <c r="P343">
        <v>4.12</v>
      </c>
      <c r="Q343">
        <v>6.3</v>
      </c>
      <c r="R343">
        <v>0</v>
      </c>
      <c r="S343">
        <v>2</v>
      </c>
    </row>
    <row r="344" spans="14:19">
      <c r="N344">
        <v>343</v>
      </c>
      <c r="O344">
        <v>0</v>
      </c>
      <c r="P344">
        <v>3.9529999999999998</v>
      </c>
      <c r="Q344">
        <v>6.62</v>
      </c>
      <c r="R344">
        <v>0</v>
      </c>
      <c r="S344">
        <v>2</v>
      </c>
    </row>
    <row r="345" spans="14:19">
      <c r="N345">
        <v>344</v>
      </c>
      <c r="O345">
        <v>0</v>
      </c>
      <c r="P345">
        <v>4.0780000000000003</v>
      </c>
      <c r="Q345">
        <v>6.9109999999999996</v>
      </c>
      <c r="R345">
        <v>0</v>
      </c>
      <c r="S345">
        <v>2</v>
      </c>
    </row>
    <row r="346" spans="14:19">
      <c r="N346">
        <v>345</v>
      </c>
      <c r="O346">
        <v>0</v>
      </c>
      <c r="P346">
        <v>4.4669999999999996</v>
      </c>
      <c r="Q346">
        <v>6.7450000000000001</v>
      </c>
      <c r="R346">
        <v>0</v>
      </c>
      <c r="S346">
        <v>2</v>
      </c>
    </row>
    <row r="347" spans="14:19">
      <c r="N347">
        <v>346</v>
      </c>
      <c r="O347">
        <v>0</v>
      </c>
      <c r="P347">
        <v>4.4809999999999999</v>
      </c>
      <c r="Q347">
        <v>6.9669999999999996</v>
      </c>
      <c r="R347">
        <v>0</v>
      </c>
      <c r="S347">
        <v>2</v>
      </c>
    </row>
    <row r="348" spans="14:19">
      <c r="N348">
        <v>347</v>
      </c>
      <c r="O348">
        <v>0</v>
      </c>
      <c r="P348">
        <v>4.2450000000000001</v>
      </c>
      <c r="Q348">
        <v>7.3140000000000001</v>
      </c>
      <c r="R348">
        <v>0</v>
      </c>
      <c r="S348">
        <v>2</v>
      </c>
    </row>
    <row r="349" spans="14:19">
      <c r="N349">
        <v>348</v>
      </c>
      <c r="O349">
        <v>0</v>
      </c>
      <c r="P349">
        <v>4.3979999999999997</v>
      </c>
      <c r="Q349">
        <v>7.62</v>
      </c>
      <c r="R349">
        <v>0</v>
      </c>
      <c r="S349">
        <v>2</v>
      </c>
    </row>
    <row r="350" spans="14:19">
      <c r="N350">
        <v>349</v>
      </c>
      <c r="O350">
        <v>0</v>
      </c>
      <c r="P350">
        <v>4.8979999999999997</v>
      </c>
      <c r="Q350">
        <v>6.9530000000000003</v>
      </c>
      <c r="R350">
        <v>0</v>
      </c>
      <c r="S350">
        <v>2</v>
      </c>
    </row>
    <row r="351" spans="14:19">
      <c r="N351">
        <v>350</v>
      </c>
      <c r="O351">
        <v>0</v>
      </c>
      <c r="P351">
        <v>5.4109999999999996</v>
      </c>
      <c r="Q351">
        <v>6.5359999999999996</v>
      </c>
      <c r="R351">
        <v>0</v>
      </c>
      <c r="S351">
        <v>2</v>
      </c>
    </row>
    <row r="352" spans="14:19">
      <c r="N352">
        <v>351</v>
      </c>
      <c r="O352">
        <v>0</v>
      </c>
      <c r="P352">
        <v>5.4530000000000003</v>
      </c>
      <c r="Q352">
        <v>6.3140000000000001</v>
      </c>
      <c r="R352">
        <v>0</v>
      </c>
      <c r="S352">
        <v>2</v>
      </c>
    </row>
    <row r="353" spans="14:19">
      <c r="N353">
        <v>352</v>
      </c>
      <c r="O353">
        <v>0</v>
      </c>
      <c r="P353">
        <v>5.6749999999999998</v>
      </c>
      <c r="Q353">
        <v>7.37</v>
      </c>
      <c r="R353">
        <v>0</v>
      </c>
      <c r="S353">
        <v>2</v>
      </c>
    </row>
    <row r="354" spans="14:19">
      <c r="N354">
        <v>353</v>
      </c>
      <c r="O354">
        <v>0</v>
      </c>
      <c r="P354">
        <v>6.0090000000000003</v>
      </c>
      <c r="Q354">
        <v>7.2169999999999996</v>
      </c>
      <c r="R354">
        <v>0</v>
      </c>
      <c r="S354">
        <v>2</v>
      </c>
    </row>
    <row r="355" spans="14:19">
      <c r="N355">
        <v>354</v>
      </c>
      <c r="O355">
        <v>0</v>
      </c>
      <c r="P355">
        <v>6.3140000000000001</v>
      </c>
      <c r="Q355">
        <v>7.0780000000000003</v>
      </c>
      <c r="R355">
        <v>0</v>
      </c>
      <c r="S355">
        <v>2</v>
      </c>
    </row>
    <row r="356" spans="14:19">
      <c r="N356">
        <v>355</v>
      </c>
      <c r="O356">
        <v>0</v>
      </c>
      <c r="P356">
        <v>6.7590000000000003</v>
      </c>
      <c r="Q356">
        <v>7.2859999999999996</v>
      </c>
      <c r="R356">
        <v>0</v>
      </c>
      <c r="S356">
        <v>2</v>
      </c>
    </row>
    <row r="357" spans="14:19">
      <c r="N357">
        <v>356</v>
      </c>
      <c r="O357">
        <v>0</v>
      </c>
      <c r="P357">
        <v>6.7859999999999996</v>
      </c>
      <c r="Q357">
        <v>7.5640000000000001</v>
      </c>
      <c r="R357">
        <v>0</v>
      </c>
      <c r="S357">
        <v>2</v>
      </c>
    </row>
    <row r="358" spans="14:19">
      <c r="N358">
        <v>357</v>
      </c>
      <c r="O358">
        <v>0</v>
      </c>
      <c r="P358">
        <v>6.7030000000000003</v>
      </c>
      <c r="Q358">
        <v>7.9809999999999999</v>
      </c>
      <c r="R358">
        <v>0</v>
      </c>
      <c r="S358">
        <v>2</v>
      </c>
    </row>
    <row r="359" spans="14:19">
      <c r="N359">
        <v>358</v>
      </c>
      <c r="O359">
        <v>0</v>
      </c>
      <c r="P359">
        <v>7.05</v>
      </c>
      <c r="Q359">
        <v>8.1890000000000001</v>
      </c>
      <c r="R359">
        <v>0</v>
      </c>
      <c r="S359">
        <v>2</v>
      </c>
    </row>
    <row r="360" spans="14:19">
      <c r="N360">
        <v>359</v>
      </c>
      <c r="O360">
        <v>0</v>
      </c>
      <c r="P360">
        <v>6.2590000000000003</v>
      </c>
      <c r="Q360">
        <v>7.6479999999999997</v>
      </c>
      <c r="R360">
        <v>0</v>
      </c>
      <c r="S360">
        <v>2</v>
      </c>
    </row>
    <row r="361" spans="14:19">
      <c r="N361">
        <v>360</v>
      </c>
      <c r="O361">
        <v>0</v>
      </c>
      <c r="P361">
        <v>4.87</v>
      </c>
      <c r="Q361">
        <v>8.6199999999999992</v>
      </c>
      <c r="R361">
        <v>0</v>
      </c>
      <c r="S361">
        <v>2</v>
      </c>
    </row>
    <row r="362" spans="14:19">
      <c r="N362">
        <v>361</v>
      </c>
      <c r="O362">
        <v>0</v>
      </c>
      <c r="P362">
        <v>4.8</v>
      </c>
      <c r="Q362">
        <v>9.0500000000000007</v>
      </c>
      <c r="R362">
        <v>0</v>
      </c>
      <c r="S362">
        <v>2</v>
      </c>
    </row>
    <row r="363" spans="14:19">
      <c r="N363">
        <v>362</v>
      </c>
      <c r="O363">
        <v>0</v>
      </c>
      <c r="P363">
        <v>5.3140000000000001</v>
      </c>
      <c r="Q363">
        <v>9.1199999999999992</v>
      </c>
      <c r="R363">
        <v>0</v>
      </c>
      <c r="S363">
        <v>2</v>
      </c>
    </row>
    <row r="364" spans="14:19">
      <c r="N364">
        <v>363</v>
      </c>
      <c r="O364">
        <v>0</v>
      </c>
      <c r="P364">
        <v>6.37</v>
      </c>
      <c r="Q364">
        <v>10.023</v>
      </c>
      <c r="R364">
        <v>0</v>
      </c>
      <c r="S364">
        <v>2</v>
      </c>
    </row>
    <row r="365" spans="14:19">
      <c r="N365">
        <v>364</v>
      </c>
      <c r="O365">
        <v>0</v>
      </c>
      <c r="P365">
        <v>7.7309999999999999</v>
      </c>
      <c r="Q365">
        <v>9.4529999999999994</v>
      </c>
      <c r="R365">
        <v>0</v>
      </c>
      <c r="S365">
        <v>2</v>
      </c>
    </row>
    <row r="366" spans="14:19">
      <c r="N366">
        <v>365</v>
      </c>
      <c r="O366">
        <v>0</v>
      </c>
      <c r="P366">
        <v>7.3419999999999996</v>
      </c>
      <c r="Q366">
        <v>9.0359999999999996</v>
      </c>
      <c r="R366">
        <v>0</v>
      </c>
      <c r="S366">
        <v>2</v>
      </c>
    </row>
    <row r="367" spans="14:19">
      <c r="N367">
        <v>366</v>
      </c>
      <c r="O367">
        <v>0</v>
      </c>
      <c r="P367">
        <v>7.8</v>
      </c>
      <c r="Q367">
        <v>8.7309999999999999</v>
      </c>
      <c r="R367">
        <v>0</v>
      </c>
      <c r="S367">
        <v>2</v>
      </c>
    </row>
    <row r="368" spans="14:19">
      <c r="N368">
        <v>367</v>
      </c>
      <c r="O368">
        <v>0</v>
      </c>
      <c r="P368">
        <v>7.7729999999999997</v>
      </c>
      <c r="Q368">
        <v>8.1059999999999999</v>
      </c>
      <c r="R368">
        <v>0</v>
      </c>
      <c r="S368">
        <v>2</v>
      </c>
    </row>
    <row r="369" spans="14:19">
      <c r="N369">
        <v>368</v>
      </c>
      <c r="O369">
        <v>0</v>
      </c>
      <c r="P369">
        <v>7.9950000000000001</v>
      </c>
      <c r="Q369">
        <v>8.5640000000000001</v>
      </c>
      <c r="R369">
        <v>0</v>
      </c>
      <c r="S369">
        <v>2</v>
      </c>
    </row>
    <row r="370" spans="14:19">
      <c r="N370">
        <v>369</v>
      </c>
      <c r="O370">
        <v>0</v>
      </c>
      <c r="P370">
        <v>8.3140000000000001</v>
      </c>
      <c r="Q370">
        <v>8.5779999999999994</v>
      </c>
      <c r="R370">
        <v>0</v>
      </c>
      <c r="S370">
        <v>2</v>
      </c>
    </row>
    <row r="371" spans="14:19">
      <c r="N371">
        <v>370</v>
      </c>
      <c r="O371">
        <v>0</v>
      </c>
      <c r="P371">
        <v>8.4250000000000007</v>
      </c>
      <c r="Q371">
        <v>9.1479999999999997</v>
      </c>
      <c r="R371">
        <v>0</v>
      </c>
      <c r="S371">
        <v>2</v>
      </c>
    </row>
    <row r="372" spans="14:19">
      <c r="N372">
        <v>371</v>
      </c>
      <c r="O372">
        <v>0</v>
      </c>
      <c r="P372">
        <v>8.7859999999999996</v>
      </c>
      <c r="Q372">
        <v>9.3000000000000007</v>
      </c>
      <c r="R372">
        <v>0</v>
      </c>
      <c r="S372">
        <v>2</v>
      </c>
    </row>
    <row r="373" spans="14:19">
      <c r="N373">
        <v>372</v>
      </c>
      <c r="O373">
        <v>0</v>
      </c>
      <c r="P373">
        <v>9.0640000000000001</v>
      </c>
      <c r="Q373">
        <v>9.2309999999999999</v>
      </c>
      <c r="R373">
        <v>0</v>
      </c>
      <c r="S373">
        <v>2</v>
      </c>
    </row>
    <row r="374" spans="14:19">
      <c r="N374">
        <v>373</v>
      </c>
      <c r="O374">
        <v>0</v>
      </c>
      <c r="P374">
        <v>9.3699999999999992</v>
      </c>
      <c r="Q374">
        <v>9.1609999999999996</v>
      </c>
      <c r="R374">
        <v>0</v>
      </c>
      <c r="S374">
        <v>2</v>
      </c>
    </row>
    <row r="375" spans="14:19">
      <c r="N375">
        <v>374</v>
      </c>
      <c r="O375">
        <v>0</v>
      </c>
      <c r="P375">
        <v>8.5920000000000005</v>
      </c>
      <c r="Q375">
        <v>9.6340000000000003</v>
      </c>
      <c r="R375">
        <v>0</v>
      </c>
      <c r="S375">
        <v>2</v>
      </c>
    </row>
    <row r="376" spans="14:19">
      <c r="N376">
        <v>375</v>
      </c>
      <c r="O376">
        <v>0</v>
      </c>
      <c r="P376">
        <v>8.5779999999999994</v>
      </c>
      <c r="Q376">
        <v>10.106</v>
      </c>
      <c r="R376">
        <v>0</v>
      </c>
      <c r="S376">
        <v>2</v>
      </c>
    </row>
    <row r="377" spans="14:19">
      <c r="N377">
        <v>376</v>
      </c>
      <c r="O377">
        <v>0</v>
      </c>
      <c r="P377">
        <v>8.3140000000000001</v>
      </c>
      <c r="Q377">
        <v>9.9529999999999994</v>
      </c>
      <c r="R377">
        <v>0</v>
      </c>
      <c r="S377">
        <v>2</v>
      </c>
    </row>
    <row r="378" spans="14:19">
      <c r="N378">
        <v>377</v>
      </c>
      <c r="O378">
        <v>0</v>
      </c>
      <c r="P378">
        <v>7.6479999999999997</v>
      </c>
      <c r="Q378">
        <v>10.148</v>
      </c>
      <c r="R378">
        <v>0</v>
      </c>
      <c r="S378">
        <v>2</v>
      </c>
    </row>
    <row r="379" spans="14:19">
      <c r="N379">
        <v>378</v>
      </c>
      <c r="O379">
        <v>0</v>
      </c>
      <c r="P379">
        <v>7.8</v>
      </c>
      <c r="Q379">
        <v>10.467000000000001</v>
      </c>
      <c r="R379">
        <v>0</v>
      </c>
      <c r="S379">
        <v>2</v>
      </c>
    </row>
    <row r="380" spans="14:19">
      <c r="N380">
        <v>379</v>
      </c>
      <c r="O380">
        <v>0</v>
      </c>
      <c r="P380">
        <v>8.2309999999999999</v>
      </c>
      <c r="Q380">
        <v>10.398</v>
      </c>
      <c r="R380">
        <v>0</v>
      </c>
      <c r="S380">
        <v>2</v>
      </c>
    </row>
    <row r="381" spans="14:19">
      <c r="N381">
        <v>380</v>
      </c>
      <c r="O381">
        <v>0</v>
      </c>
      <c r="P381">
        <v>9.0920000000000005</v>
      </c>
      <c r="Q381">
        <v>10.161</v>
      </c>
      <c r="R381">
        <v>0</v>
      </c>
      <c r="S381">
        <v>2</v>
      </c>
    </row>
    <row r="382" spans="14:19">
      <c r="N382">
        <v>381</v>
      </c>
      <c r="O382">
        <v>0</v>
      </c>
      <c r="P382">
        <v>9.3979999999999997</v>
      </c>
      <c r="Q382">
        <v>10.452999999999999</v>
      </c>
      <c r="R382">
        <v>0</v>
      </c>
      <c r="S382">
        <v>2</v>
      </c>
    </row>
    <row r="383" spans="14:19">
      <c r="N383">
        <v>382</v>
      </c>
      <c r="O383">
        <v>0</v>
      </c>
      <c r="P383">
        <v>10.217000000000001</v>
      </c>
      <c r="Q383">
        <v>10.702999999999999</v>
      </c>
      <c r="R383">
        <v>0</v>
      </c>
      <c r="S383">
        <v>2</v>
      </c>
    </row>
    <row r="384" spans="14:19">
      <c r="N384">
        <v>383</v>
      </c>
      <c r="O384">
        <v>0</v>
      </c>
      <c r="P384">
        <v>9.8420000000000005</v>
      </c>
      <c r="Q384">
        <v>10.161</v>
      </c>
      <c r="R384">
        <v>0</v>
      </c>
      <c r="S384">
        <v>2</v>
      </c>
    </row>
    <row r="385" spans="14:19">
      <c r="N385">
        <v>384</v>
      </c>
      <c r="O385">
        <v>0</v>
      </c>
      <c r="P385">
        <v>10.342000000000001</v>
      </c>
      <c r="Q385">
        <v>9.8840000000000003</v>
      </c>
      <c r="R385">
        <v>0</v>
      </c>
      <c r="S385">
        <v>2</v>
      </c>
    </row>
    <row r="386" spans="14:19">
      <c r="N386">
        <v>385</v>
      </c>
      <c r="O386">
        <v>0</v>
      </c>
      <c r="P386">
        <v>10.634</v>
      </c>
      <c r="Q386">
        <v>9.6750000000000007</v>
      </c>
      <c r="R386">
        <v>0</v>
      </c>
      <c r="S386">
        <v>2</v>
      </c>
    </row>
    <row r="387" spans="14:19">
      <c r="N387">
        <v>386</v>
      </c>
      <c r="O387">
        <v>0</v>
      </c>
      <c r="P387">
        <v>10.939</v>
      </c>
      <c r="Q387">
        <v>9.5359999999999996</v>
      </c>
      <c r="R387">
        <v>0</v>
      </c>
      <c r="S387">
        <v>2</v>
      </c>
    </row>
    <row r="388" spans="14:19">
      <c r="N388">
        <v>387</v>
      </c>
      <c r="O388">
        <v>0</v>
      </c>
      <c r="P388">
        <v>11.55</v>
      </c>
      <c r="Q388">
        <v>9.6750000000000007</v>
      </c>
      <c r="R388">
        <v>0</v>
      </c>
      <c r="S388">
        <v>2</v>
      </c>
    </row>
    <row r="389" spans="14:19">
      <c r="N389">
        <v>388</v>
      </c>
      <c r="O389">
        <v>0</v>
      </c>
      <c r="P389">
        <v>12.189</v>
      </c>
      <c r="Q389">
        <v>9.9390000000000001</v>
      </c>
      <c r="R389">
        <v>0</v>
      </c>
      <c r="S389">
        <v>2</v>
      </c>
    </row>
    <row r="390" spans="14:19">
      <c r="N390">
        <v>389</v>
      </c>
      <c r="O390">
        <v>0</v>
      </c>
      <c r="P390">
        <v>12.55</v>
      </c>
      <c r="Q390">
        <v>9.9250000000000007</v>
      </c>
      <c r="R390">
        <v>0</v>
      </c>
      <c r="S390">
        <v>2</v>
      </c>
    </row>
    <row r="391" spans="14:19">
      <c r="N391">
        <v>390</v>
      </c>
      <c r="O391">
        <v>0</v>
      </c>
      <c r="P391">
        <v>12.092000000000001</v>
      </c>
      <c r="Q391">
        <v>10.439</v>
      </c>
      <c r="R391">
        <v>0</v>
      </c>
      <c r="S391">
        <v>2</v>
      </c>
    </row>
    <row r="392" spans="14:19">
      <c r="N392">
        <v>391</v>
      </c>
      <c r="O392">
        <v>0</v>
      </c>
      <c r="P392">
        <v>11.87</v>
      </c>
      <c r="Q392">
        <v>10.536</v>
      </c>
      <c r="R392">
        <v>0</v>
      </c>
      <c r="S392">
        <v>2</v>
      </c>
    </row>
    <row r="393" spans="14:19">
      <c r="N393">
        <v>392</v>
      </c>
      <c r="O393">
        <v>0</v>
      </c>
      <c r="P393">
        <v>11.744999999999999</v>
      </c>
      <c r="Q393">
        <v>10.3</v>
      </c>
      <c r="R393">
        <v>0</v>
      </c>
      <c r="S393">
        <v>2</v>
      </c>
    </row>
    <row r="394" spans="14:19">
      <c r="N394">
        <v>393</v>
      </c>
      <c r="O394">
        <v>0</v>
      </c>
      <c r="P394">
        <v>11.286</v>
      </c>
      <c r="Q394">
        <v>10.119999999999999</v>
      </c>
      <c r="R394">
        <v>0</v>
      </c>
      <c r="S394">
        <v>2</v>
      </c>
    </row>
    <row r="395" spans="14:19">
      <c r="N395">
        <v>394</v>
      </c>
      <c r="O395">
        <v>0</v>
      </c>
      <c r="P395">
        <v>10.87</v>
      </c>
      <c r="Q395">
        <v>10.106</v>
      </c>
      <c r="R395">
        <v>0</v>
      </c>
      <c r="S395">
        <v>2</v>
      </c>
    </row>
    <row r="396" spans="14:19">
      <c r="N396">
        <v>395</v>
      </c>
      <c r="O396">
        <v>0</v>
      </c>
      <c r="P396">
        <v>11.077999999999999</v>
      </c>
      <c r="Q396">
        <v>10.425000000000001</v>
      </c>
      <c r="R396">
        <v>0</v>
      </c>
      <c r="S396">
        <v>2</v>
      </c>
    </row>
    <row r="397" spans="14:19">
      <c r="N397">
        <v>396</v>
      </c>
      <c r="O397">
        <v>0</v>
      </c>
      <c r="P397">
        <v>11.244999999999999</v>
      </c>
      <c r="Q397">
        <v>10.842000000000001</v>
      </c>
      <c r="R397">
        <v>0</v>
      </c>
      <c r="S397">
        <v>2</v>
      </c>
    </row>
    <row r="398" spans="14:19">
      <c r="N398">
        <v>397</v>
      </c>
      <c r="O398">
        <v>0</v>
      </c>
      <c r="P398">
        <v>10.981</v>
      </c>
      <c r="Q398">
        <v>11.05</v>
      </c>
      <c r="R398">
        <v>0</v>
      </c>
      <c r="S398">
        <v>2</v>
      </c>
    </row>
    <row r="399" spans="14:19">
      <c r="N399">
        <v>398</v>
      </c>
      <c r="O399">
        <v>0</v>
      </c>
      <c r="P399">
        <v>10.773</v>
      </c>
      <c r="Q399">
        <v>11.481</v>
      </c>
      <c r="R399">
        <v>0</v>
      </c>
      <c r="S399">
        <v>2</v>
      </c>
    </row>
    <row r="400" spans="14:19">
      <c r="N400">
        <v>399</v>
      </c>
      <c r="O400">
        <v>0</v>
      </c>
      <c r="P400">
        <v>11.744999999999999</v>
      </c>
      <c r="Q400">
        <v>11.62</v>
      </c>
      <c r="R400">
        <v>0</v>
      </c>
      <c r="S400">
        <v>2</v>
      </c>
    </row>
    <row r="401" spans="14:19">
      <c r="N401">
        <v>400</v>
      </c>
      <c r="O401">
        <v>0</v>
      </c>
      <c r="P401">
        <v>12.314</v>
      </c>
      <c r="Q401">
        <v>11.606</v>
      </c>
      <c r="R401">
        <v>0</v>
      </c>
      <c r="S401">
        <v>2</v>
      </c>
    </row>
    <row r="402" spans="14:19">
      <c r="N402">
        <v>401</v>
      </c>
      <c r="O402">
        <v>0</v>
      </c>
      <c r="P402">
        <v>12.036</v>
      </c>
      <c r="Q402">
        <v>11.202999999999999</v>
      </c>
      <c r="R402">
        <v>0</v>
      </c>
      <c r="S402">
        <v>2</v>
      </c>
    </row>
    <row r="403" spans="14:19">
      <c r="N403">
        <v>402</v>
      </c>
      <c r="O403">
        <v>0</v>
      </c>
      <c r="P403">
        <v>12.62</v>
      </c>
      <c r="Q403">
        <v>10.856</v>
      </c>
      <c r="R403">
        <v>0</v>
      </c>
      <c r="S403">
        <v>2</v>
      </c>
    </row>
    <row r="404" spans="14:19">
      <c r="N404">
        <v>403</v>
      </c>
      <c r="O404">
        <v>0</v>
      </c>
      <c r="P404">
        <v>12.634</v>
      </c>
      <c r="Q404">
        <v>11.202999999999999</v>
      </c>
      <c r="R404">
        <v>0</v>
      </c>
      <c r="S404">
        <v>2</v>
      </c>
    </row>
    <row r="405" spans="14:19">
      <c r="N405">
        <v>404</v>
      </c>
      <c r="O405">
        <v>0</v>
      </c>
      <c r="P405">
        <v>13.023</v>
      </c>
      <c r="Q405">
        <v>10.967000000000001</v>
      </c>
      <c r="R405">
        <v>0</v>
      </c>
      <c r="S405">
        <v>2</v>
      </c>
    </row>
    <row r="406" spans="14:19">
      <c r="N406">
        <v>405</v>
      </c>
      <c r="O406">
        <v>0</v>
      </c>
      <c r="P406">
        <v>13.175000000000001</v>
      </c>
      <c r="Q406">
        <v>10.744999999999999</v>
      </c>
      <c r="R406">
        <v>0</v>
      </c>
      <c r="S406">
        <v>2</v>
      </c>
    </row>
    <row r="407" spans="14:19">
      <c r="N407">
        <v>406</v>
      </c>
      <c r="O407">
        <v>0</v>
      </c>
      <c r="P407">
        <v>13.05</v>
      </c>
      <c r="Q407">
        <v>10.452999999999999</v>
      </c>
      <c r="R407">
        <v>0</v>
      </c>
      <c r="S407">
        <v>2</v>
      </c>
    </row>
    <row r="408" spans="14:19">
      <c r="N408">
        <v>407</v>
      </c>
      <c r="O408">
        <v>0</v>
      </c>
      <c r="P408">
        <v>12.87</v>
      </c>
      <c r="Q408">
        <v>10.62</v>
      </c>
      <c r="R408">
        <v>0</v>
      </c>
      <c r="S408">
        <v>2</v>
      </c>
    </row>
    <row r="409" spans="14:19">
      <c r="N409">
        <v>408</v>
      </c>
      <c r="O409">
        <v>0</v>
      </c>
      <c r="P409">
        <v>13.62</v>
      </c>
      <c r="Q409">
        <v>10.717000000000001</v>
      </c>
      <c r="R409">
        <v>0</v>
      </c>
      <c r="S409">
        <v>2</v>
      </c>
    </row>
    <row r="410" spans="14:19">
      <c r="N410">
        <v>409</v>
      </c>
      <c r="O410">
        <v>0</v>
      </c>
      <c r="P410">
        <v>14.134</v>
      </c>
      <c r="Q410">
        <v>10.759</v>
      </c>
      <c r="R410">
        <v>0</v>
      </c>
      <c r="S410">
        <v>2</v>
      </c>
    </row>
    <row r="411" spans="14:19">
      <c r="N411">
        <v>410</v>
      </c>
      <c r="O411">
        <v>0</v>
      </c>
      <c r="P411">
        <v>14.189</v>
      </c>
      <c r="Q411">
        <v>10.327999999999999</v>
      </c>
      <c r="R411">
        <v>0</v>
      </c>
      <c r="S411">
        <v>2</v>
      </c>
    </row>
    <row r="412" spans="14:19">
      <c r="N412">
        <v>411</v>
      </c>
      <c r="O412">
        <v>0</v>
      </c>
      <c r="P412">
        <v>14.398</v>
      </c>
      <c r="Q412">
        <v>10.689</v>
      </c>
      <c r="R412">
        <v>0</v>
      </c>
      <c r="S412">
        <v>2</v>
      </c>
    </row>
    <row r="413" spans="14:19">
      <c r="N413">
        <v>412</v>
      </c>
      <c r="O413">
        <v>0</v>
      </c>
      <c r="P413">
        <v>14.536</v>
      </c>
      <c r="Q413">
        <v>10.884</v>
      </c>
      <c r="R413">
        <v>0</v>
      </c>
      <c r="S413">
        <v>2</v>
      </c>
    </row>
    <row r="414" spans="14:19">
      <c r="N414">
        <v>413</v>
      </c>
      <c r="O414">
        <v>0</v>
      </c>
      <c r="P414">
        <v>15.161</v>
      </c>
      <c r="Q414">
        <v>10.773</v>
      </c>
      <c r="R414">
        <v>0</v>
      </c>
      <c r="S414">
        <v>2</v>
      </c>
    </row>
    <row r="415" spans="14:19">
      <c r="N415">
        <v>414</v>
      </c>
      <c r="O415">
        <v>0</v>
      </c>
      <c r="P415">
        <v>15.12</v>
      </c>
      <c r="Q415">
        <v>12.077999999999999</v>
      </c>
      <c r="R415">
        <v>0</v>
      </c>
      <c r="S415">
        <v>2</v>
      </c>
    </row>
    <row r="416" spans="14:19">
      <c r="N416">
        <v>415</v>
      </c>
      <c r="O416">
        <v>0</v>
      </c>
      <c r="P416">
        <v>15.202999999999999</v>
      </c>
      <c r="Q416">
        <v>12.773</v>
      </c>
      <c r="R416">
        <v>0</v>
      </c>
      <c r="S416">
        <v>2</v>
      </c>
    </row>
    <row r="417" spans="14:19">
      <c r="N417">
        <v>416</v>
      </c>
      <c r="O417">
        <v>0</v>
      </c>
      <c r="P417">
        <v>15.856</v>
      </c>
      <c r="Q417">
        <v>13.286</v>
      </c>
      <c r="R417">
        <v>0</v>
      </c>
      <c r="S417">
        <v>2</v>
      </c>
    </row>
    <row r="418" spans="14:19">
      <c r="N418">
        <v>417</v>
      </c>
      <c r="O418">
        <v>0</v>
      </c>
      <c r="P418">
        <v>14.148</v>
      </c>
      <c r="Q418">
        <v>13.661</v>
      </c>
      <c r="R418">
        <v>0</v>
      </c>
      <c r="S418">
        <v>2</v>
      </c>
    </row>
    <row r="419" spans="14:19">
      <c r="N419">
        <v>418</v>
      </c>
      <c r="O419">
        <v>0</v>
      </c>
      <c r="P419">
        <v>11.175000000000001</v>
      </c>
      <c r="Q419">
        <v>12.064</v>
      </c>
      <c r="R419">
        <v>0</v>
      </c>
      <c r="S419">
        <v>2</v>
      </c>
    </row>
    <row r="420" spans="14:19">
      <c r="N420">
        <v>419</v>
      </c>
      <c r="O420">
        <v>0</v>
      </c>
      <c r="P420">
        <v>11.481</v>
      </c>
      <c r="Q420">
        <v>12.314</v>
      </c>
      <c r="R420">
        <v>0</v>
      </c>
      <c r="S420">
        <v>2</v>
      </c>
    </row>
    <row r="421" spans="14:19">
      <c r="N421">
        <v>420</v>
      </c>
      <c r="O421">
        <v>0</v>
      </c>
      <c r="P421">
        <v>16.202999999999999</v>
      </c>
      <c r="Q421">
        <v>13.786</v>
      </c>
      <c r="R421">
        <v>0</v>
      </c>
      <c r="S421">
        <v>2</v>
      </c>
    </row>
    <row r="422" spans="14:19">
      <c r="N422">
        <v>421</v>
      </c>
      <c r="O422">
        <v>0</v>
      </c>
      <c r="P422">
        <v>17.064</v>
      </c>
      <c r="Q422">
        <v>14.564</v>
      </c>
      <c r="R422">
        <v>0</v>
      </c>
      <c r="S422">
        <v>2</v>
      </c>
    </row>
    <row r="423" spans="14:19">
      <c r="N423">
        <v>422</v>
      </c>
      <c r="O423">
        <v>0</v>
      </c>
      <c r="P423">
        <v>18.161000000000001</v>
      </c>
      <c r="Q423">
        <v>14.577999999999999</v>
      </c>
      <c r="R423">
        <v>0</v>
      </c>
      <c r="S423">
        <v>2</v>
      </c>
    </row>
    <row r="424" spans="14:19">
      <c r="N424">
        <v>423</v>
      </c>
      <c r="O424">
        <v>0</v>
      </c>
      <c r="P424">
        <v>19.452999999999999</v>
      </c>
      <c r="Q424">
        <v>14.564</v>
      </c>
      <c r="R424">
        <v>0</v>
      </c>
      <c r="S424">
        <v>2</v>
      </c>
    </row>
    <row r="425" spans="14:19">
      <c r="N425">
        <v>424</v>
      </c>
      <c r="O425">
        <v>0</v>
      </c>
      <c r="P425">
        <v>18.398</v>
      </c>
      <c r="Q425">
        <v>14.009</v>
      </c>
      <c r="R425">
        <v>0</v>
      </c>
      <c r="S425">
        <v>2</v>
      </c>
    </row>
    <row r="426" spans="14:19">
      <c r="N426">
        <v>425</v>
      </c>
      <c r="O426">
        <v>0</v>
      </c>
      <c r="P426">
        <v>18.12</v>
      </c>
      <c r="Q426">
        <v>13.37</v>
      </c>
      <c r="R426">
        <v>0</v>
      </c>
      <c r="S426">
        <v>2</v>
      </c>
    </row>
    <row r="427" spans="14:19">
      <c r="N427">
        <v>426</v>
      </c>
      <c r="O427">
        <v>0</v>
      </c>
      <c r="P427">
        <v>17.634</v>
      </c>
      <c r="Q427">
        <v>13.273</v>
      </c>
      <c r="R427">
        <v>0</v>
      </c>
      <c r="S427">
        <v>2</v>
      </c>
    </row>
    <row r="428" spans="14:19">
      <c r="N428">
        <v>427</v>
      </c>
      <c r="O428">
        <v>0</v>
      </c>
      <c r="P428">
        <v>16.856000000000002</v>
      </c>
      <c r="Q428">
        <v>12.327999999999999</v>
      </c>
      <c r="R428">
        <v>0</v>
      </c>
      <c r="S428">
        <v>2</v>
      </c>
    </row>
    <row r="429" spans="14:19">
      <c r="N429">
        <v>428</v>
      </c>
      <c r="O429">
        <v>0</v>
      </c>
      <c r="P429">
        <v>16.175000000000001</v>
      </c>
      <c r="Q429">
        <v>12.023</v>
      </c>
      <c r="R429">
        <v>0</v>
      </c>
      <c r="S429">
        <v>2</v>
      </c>
    </row>
    <row r="430" spans="14:19">
      <c r="N430">
        <v>429</v>
      </c>
      <c r="O430">
        <v>0</v>
      </c>
      <c r="P430">
        <v>15.952999999999999</v>
      </c>
      <c r="Q430">
        <v>10.702999999999999</v>
      </c>
      <c r="R430">
        <v>0</v>
      </c>
      <c r="S430">
        <v>2</v>
      </c>
    </row>
    <row r="431" spans="14:19">
      <c r="N431">
        <v>430</v>
      </c>
      <c r="O431">
        <v>0</v>
      </c>
      <c r="P431">
        <v>16.05</v>
      </c>
      <c r="Q431">
        <v>10.342000000000001</v>
      </c>
      <c r="R431">
        <v>0</v>
      </c>
      <c r="S431">
        <v>2</v>
      </c>
    </row>
    <row r="432" spans="14:19">
      <c r="N432">
        <v>431</v>
      </c>
      <c r="O432">
        <v>0</v>
      </c>
      <c r="P432">
        <v>16.716999999999999</v>
      </c>
      <c r="Q432">
        <v>11.55</v>
      </c>
      <c r="R432">
        <v>0</v>
      </c>
      <c r="S432">
        <v>2</v>
      </c>
    </row>
    <row r="433" spans="14:19">
      <c r="N433">
        <v>432</v>
      </c>
      <c r="O433">
        <v>0</v>
      </c>
      <c r="P433">
        <v>17.134</v>
      </c>
      <c r="Q433">
        <v>11.384</v>
      </c>
      <c r="R433">
        <v>0</v>
      </c>
      <c r="S433">
        <v>2</v>
      </c>
    </row>
    <row r="434" spans="14:19">
      <c r="N434">
        <v>433</v>
      </c>
      <c r="O434">
        <v>0</v>
      </c>
      <c r="P434">
        <v>16.716999999999999</v>
      </c>
      <c r="Q434">
        <v>11.217000000000001</v>
      </c>
      <c r="R434">
        <v>0</v>
      </c>
      <c r="S434">
        <v>2</v>
      </c>
    </row>
    <row r="435" spans="14:19">
      <c r="N435">
        <v>434</v>
      </c>
      <c r="O435">
        <v>0</v>
      </c>
      <c r="P435">
        <v>17.12</v>
      </c>
      <c r="Q435">
        <v>10.661</v>
      </c>
      <c r="R435">
        <v>0</v>
      </c>
      <c r="S435">
        <v>2</v>
      </c>
    </row>
    <row r="436" spans="14:19">
      <c r="N436">
        <v>435</v>
      </c>
      <c r="O436">
        <v>0</v>
      </c>
      <c r="P436">
        <v>17.202999999999999</v>
      </c>
      <c r="Q436">
        <v>10.425000000000001</v>
      </c>
      <c r="R436">
        <v>0</v>
      </c>
      <c r="S436">
        <v>2</v>
      </c>
    </row>
    <row r="437" spans="14:19">
      <c r="N437">
        <v>436</v>
      </c>
      <c r="O437">
        <v>0</v>
      </c>
      <c r="P437">
        <v>17.286000000000001</v>
      </c>
      <c r="Q437">
        <v>10.273</v>
      </c>
      <c r="R437">
        <v>0</v>
      </c>
      <c r="S437">
        <v>2</v>
      </c>
    </row>
    <row r="438" spans="14:19">
      <c r="N438">
        <v>437</v>
      </c>
      <c r="O438">
        <v>0</v>
      </c>
      <c r="P438">
        <v>17.216999999999999</v>
      </c>
      <c r="Q438">
        <v>10.009</v>
      </c>
      <c r="R438">
        <v>0</v>
      </c>
      <c r="S438">
        <v>2</v>
      </c>
    </row>
    <row r="439" spans="14:19">
      <c r="N439">
        <v>438</v>
      </c>
      <c r="O439">
        <v>0</v>
      </c>
      <c r="P439">
        <v>16.856000000000002</v>
      </c>
      <c r="Q439">
        <v>9.7859999999999996</v>
      </c>
      <c r="R439">
        <v>0</v>
      </c>
      <c r="S439">
        <v>2</v>
      </c>
    </row>
    <row r="440" spans="14:19">
      <c r="N440">
        <v>439</v>
      </c>
      <c r="O440">
        <v>0</v>
      </c>
      <c r="P440">
        <v>16.939</v>
      </c>
      <c r="Q440">
        <v>9.3420000000000005</v>
      </c>
      <c r="R440">
        <v>0</v>
      </c>
      <c r="S440">
        <v>2</v>
      </c>
    </row>
    <row r="441" spans="14:19">
      <c r="N441">
        <v>440</v>
      </c>
      <c r="O441">
        <v>0</v>
      </c>
      <c r="P441">
        <v>19.577999999999999</v>
      </c>
      <c r="Q441">
        <v>13.134</v>
      </c>
      <c r="R441">
        <v>0</v>
      </c>
      <c r="S441">
        <v>2</v>
      </c>
    </row>
    <row r="442" spans="14:19">
      <c r="N442">
        <v>441</v>
      </c>
      <c r="O442">
        <v>0</v>
      </c>
      <c r="P442">
        <v>19.62</v>
      </c>
      <c r="Q442">
        <v>12.952999999999999</v>
      </c>
      <c r="R442">
        <v>0</v>
      </c>
      <c r="S442">
        <v>2</v>
      </c>
    </row>
    <row r="443" spans="14:19">
      <c r="N443">
        <v>442</v>
      </c>
      <c r="O443">
        <v>0</v>
      </c>
      <c r="P443">
        <v>19.466999999999999</v>
      </c>
      <c r="Q443">
        <v>12.675000000000001</v>
      </c>
      <c r="R443">
        <v>0</v>
      </c>
      <c r="S443">
        <v>2</v>
      </c>
    </row>
    <row r="444" spans="14:19">
      <c r="N444">
        <v>443</v>
      </c>
      <c r="O444">
        <v>0</v>
      </c>
      <c r="P444">
        <v>19.064</v>
      </c>
      <c r="Q444">
        <v>11.884</v>
      </c>
      <c r="R444">
        <v>0</v>
      </c>
      <c r="S444">
        <v>2</v>
      </c>
    </row>
    <row r="445" spans="14:19">
      <c r="N445">
        <v>444</v>
      </c>
      <c r="O445">
        <v>0</v>
      </c>
      <c r="P445">
        <v>18.675000000000001</v>
      </c>
      <c r="Q445">
        <v>11.564</v>
      </c>
      <c r="R445">
        <v>0</v>
      </c>
      <c r="S445">
        <v>2</v>
      </c>
    </row>
    <row r="446" spans="14:19">
      <c r="N446">
        <v>445</v>
      </c>
      <c r="O446">
        <v>0</v>
      </c>
      <c r="P446">
        <v>17.841999999999999</v>
      </c>
      <c r="Q446">
        <v>12.217000000000001</v>
      </c>
      <c r="R446">
        <v>0</v>
      </c>
      <c r="S446">
        <v>2</v>
      </c>
    </row>
    <row r="447" spans="14:19">
      <c r="N447">
        <v>446</v>
      </c>
      <c r="O447">
        <v>0</v>
      </c>
      <c r="P447">
        <v>18.202999999999999</v>
      </c>
      <c r="Q447">
        <v>10.939</v>
      </c>
      <c r="R447">
        <v>0</v>
      </c>
      <c r="S447">
        <v>2</v>
      </c>
    </row>
    <row r="448" spans="14:19">
      <c r="N448">
        <v>447</v>
      </c>
      <c r="O448">
        <v>0</v>
      </c>
      <c r="P448">
        <v>18.384</v>
      </c>
      <c r="Q448">
        <v>10.494999999999999</v>
      </c>
      <c r="R448">
        <v>0</v>
      </c>
      <c r="S448">
        <v>2</v>
      </c>
    </row>
    <row r="449" spans="14:19">
      <c r="N449">
        <v>448</v>
      </c>
      <c r="O449">
        <v>0</v>
      </c>
      <c r="P449">
        <v>19.55</v>
      </c>
      <c r="Q449">
        <v>11.494999999999999</v>
      </c>
      <c r="R449">
        <v>0</v>
      </c>
      <c r="S449">
        <v>2</v>
      </c>
    </row>
    <row r="450" spans="14:19">
      <c r="N450">
        <v>449</v>
      </c>
      <c r="O450">
        <v>0</v>
      </c>
      <c r="P450">
        <v>17.898</v>
      </c>
      <c r="Q450">
        <v>9.9250000000000007</v>
      </c>
      <c r="R450">
        <v>0</v>
      </c>
      <c r="S450">
        <v>2</v>
      </c>
    </row>
    <row r="451" spans="14:19">
      <c r="N451">
        <v>450</v>
      </c>
      <c r="O451">
        <v>0</v>
      </c>
      <c r="P451">
        <v>18.759</v>
      </c>
      <c r="Q451">
        <v>9.8420000000000005</v>
      </c>
      <c r="R451">
        <v>0</v>
      </c>
      <c r="S451">
        <v>2</v>
      </c>
    </row>
    <row r="452" spans="14:19">
      <c r="N452">
        <v>451</v>
      </c>
      <c r="O452">
        <v>0</v>
      </c>
      <c r="P452">
        <v>19.759</v>
      </c>
      <c r="Q452">
        <v>9.5779999999999994</v>
      </c>
      <c r="R452">
        <v>0</v>
      </c>
      <c r="S452">
        <v>2</v>
      </c>
    </row>
    <row r="453" spans="14:19">
      <c r="N453">
        <v>452</v>
      </c>
      <c r="O453">
        <v>0</v>
      </c>
      <c r="P453">
        <v>18.731000000000002</v>
      </c>
      <c r="Q453">
        <v>9.4390000000000001</v>
      </c>
      <c r="R453">
        <v>0</v>
      </c>
      <c r="S453">
        <v>2</v>
      </c>
    </row>
    <row r="454" spans="14:19">
      <c r="N454">
        <v>453</v>
      </c>
      <c r="O454">
        <v>0</v>
      </c>
      <c r="P454">
        <v>17.966999999999999</v>
      </c>
      <c r="Q454">
        <v>9.3420000000000005</v>
      </c>
      <c r="R454">
        <v>0</v>
      </c>
      <c r="S454">
        <v>2</v>
      </c>
    </row>
    <row r="455" spans="14:19">
      <c r="N455">
        <v>454</v>
      </c>
      <c r="O455">
        <v>0</v>
      </c>
      <c r="P455">
        <v>16.648</v>
      </c>
      <c r="Q455">
        <v>8.9390000000000001</v>
      </c>
      <c r="R455">
        <v>0</v>
      </c>
      <c r="S455">
        <v>2</v>
      </c>
    </row>
    <row r="456" spans="14:19">
      <c r="N456">
        <v>455</v>
      </c>
      <c r="O456">
        <v>0</v>
      </c>
      <c r="P456">
        <v>16.495000000000001</v>
      </c>
      <c r="Q456">
        <v>8.5090000000000003</v>
      </c>
      <c r="R456">
        <v>0</v>
      </c>
      <c r="S456">
        <v>2</v>
      </c>
    </row>
    <row r="457" spans="14:19">
      <c r="N457">
        <v>456</v>
      </c>
      <c r="O457">
        <v>0</v>
      </c>
      <c r="P457">
        <v>19.259</v>
      </c>
      <c r="Q457">
        <v>8.6199999999999992</v>
      </c>
      <c r="R457">
        <v>0</v>
      </c>
      <c r="S457">
        <v>2</v>
      </c>
    </row>
    <row r="458" spans="14:19">
      <c r="N458">
        <v>457</v>
      </c>
      <c r="O458">
        <v>0</v>
      </c>
      <c r="P458">
        <v>18.759</v>
      </c>
      <c r="Q458">
        <v>8.5090000000000003</v>
      </c>
      <c r="R458">
        <v>0</v>
      </c>
      <c r="S458">
        <v>2</v>
      </c>
    </row>
    <row r="459" spans="14:19">
      <c r="N459">
        <v>458</v>
      </c>
      <c r="O459">
        <v>0</v>
      </c>
      <c r="P459">
        <v>18.62</v>
      </c>
      <c r="Q459">
        <v>8.2449999999999992</v>
      </c>
      <c r="R459">
        <v>0</v>
      </c>
      <c r="S459">
        <v>2</v>
      </c>
    </row>
    <row r="460" spans="14:19">
      <c r="N460">
        <v>459</v>
      </c>
      <c r="O460">
        <v>0</v>
      </c>
      <c r="P460">
        <v>18.411000000000001</v>
      </c>
      <c r="Q460">
        <v>7.62</v>
      </c>
      <c r="R460">
        <v>0</v>
      </c>
      <c r="S460">
        <v>2</v>
      </c>
    </row>
    <row r="461" spans="14:19">
      <c r="N461">
        <v>460</v>
      </c>
      <c r="O461">
        <v>0</v>
      </c>
      <c r="P461">
        <v>18.148</v>
      </c>
      <c r="Q461">
        <v>7.2729999999999997</v>
      </c>
      <c r="R461">
        <v>0</v>
      </c>
      <c r="S461">
        <v>2</v>
      </c>
    </row>
    <row r="462" spans="14:19">
      <c r="N462">
        <v>461</v>
      </c>
      <c r="O462">
        <v>0</v>
      </c>
      <c r="P462">
        <v>18.245000000000001</v>
      </c>
      <c r="Q462">
        <v>6.9249999999999998</v>
      </c>
      <c r="R462">
        <v>0</v>
      </c>
      <c r="S462">
        <v>2</v>
      </c>
    </row>
    <row r="463" spans="14:19">
      <c r="N463">
        <v>462</v>
      </c>
      <c r="O463">
        <v>0</v>
      </c>
      <c r="P463">
        <v>17.661000000000001</v>
      </c>
      <c r="Q463">
        <v>7.9950000000000001</v>
      </c>
      <c r="R463">
        <v>0</v>
      </c>
      <c r="S463">
        <v>2</v>
      </c>
    </row>
    <row r="464" spans="14:19">
      <c r="N464">
        <v>463</v>
      </c>
      <c r="O464">
        <v>0</v>
      </c>
      <c r="P464">
        <v>17.273</v>
      </c>
      <c r="Q464">
        <v>7.9530000000000003</v>
      </c>
      <c r="R464">
        <v>0</v>
      </c>
      <c r="S464">
        <v>2</v>
      </c>
    </row>
    <row r="465" spans="14:19">
      <c r="N465">
        <v>464</v>
      </c>
      <c r="O465">
        <v>0</v>
      </c>
      <c r="P465">
        <v>16.898</v>
      </c>
      <c r="Q465">
        <v>8.0779999999999994</v>
      </c>
      <c r="R465">
        <v>0</v>
      </c>
      <c r="S465">
        <v>2</v>
      </c>
    </row>
    <row r="466" spans="14:19">
      <c r="N466">
        <v>465</v>
      </c>
      <c r="O466">
        <v>0</v>
      </c>
      <c r="P466">
        <v>16.481000000000002</v>
      </c>
      <c r="Q466">
        <v>7.9109999999999996</v>
      </c>
      <c r="R466">
        <v>0</v>
      </c>
      <c r="S466">
        <v>2</v>
      </c>
    </row>
    <row r="467" spans="14:19">
      <c r="N467">
        <v>466</v>
      </c>
      <c r="O467">
        <v>0</v>
      </c>
      <c r="P467">
        <v>16.341999999999999</v>
      </c>
      <c r="Q467">
        <v>7.6890000000000001</v>
      </c>
      <c r="R467">
        <v>0</v>
      </c>
      <c r="S467">
        <v>2</v>
      </c>
    </row>
    <row r="468" spans="14:19">
      <c r="N468">
        <v>467</v>
      </c>
      <c r="O468">
        <v>0</v>
      </c>
      <c r="P468">
        <v>15.925000000000001</v>
      </c>
      <c r="Q468">
        <v>7.62</v>
      </c>
      <c r="R468">
        <v>0</v>
      </c>
      <c r="S468">
        <v>2</v>
      </c>
    </row>
    <row r="469" spans="14:19">
      <c r="N469">
        <v>468</v>
      </c>
      <c r="O469">
        <v>0</v>
      </c>
      <c r="P469">
        <v>16.509</v>
      </c>
      <c r="Q469">
        <v>7.4249999999999998</v>
      </c>
      <c r="R469">
        <v>0</v>
      </c>
      <c r="S469">
        <v>2</v>
      </c>
    </row>
    <row r="470" spans="14:19">
      <c r="N470">
        <v>469</v>
      </c>
      <c r="O470">
        <v>0</v>
      </c>
      <c r="P470">
        <v>16.716999999999999</v>
      </c>
      <c r="Q470">
        <v>7.6059999999999999</v>
      </c>
      <c r="R470">
        <v>0</v>
      </c>
      <c r="S470">
        <v>2</v>
      </c>
    </row>
    <row r="471" spans="14:19">
      <c r="N471">
        <v>470</v>
      </c>
      <c r="O471">
        <v>0</v>
      </c>
      <c r="P471">
        <v>16.745000000000001</v>
      </c>
      <c r="Q471">
        <v>7.1609999999999996</v>
      </c>
      <c r="R471">
        <v>0</v>
      </c>
      <c r="S471">
        <v>2</v>
      </c>
    </row>
    <row r="472" spans="14:19">
      <c r="N472">
        <v>471</v>
      </c>
      <c r="O472">
        <v>0</v>
      </c>
      <c r="P472">
        <v>15.842000000000001</v>
      </c>
      <c r="Q472">
        <v>5.8979999999999997</v>
      </c>
      <c r="R472">
        <v>0</v>
      </c>
      <c r="S472">
        <v>2</v>
      </c>
    </row>
    <row r="473" spans="14:19">
      <c r="N473">
        <v>472</v>
      </c>
      <c r="O473">
        <v>0</v>
      </c>
      <c r="P473">
        <v>15.439</v>
      </c>
      <c r="Q473">
        <v>6.1749999999999998</v>
      </c>
      <c r="R473">
        <v>0</v>
      </c>
      <c r="S473">
        <v>2</v>
      </c>
    </row>
    <row r="474" spans="14:19">
      <c r="N474">
        <v>473</v>
      </c>
      <c r="O474">
        <v>0</v>
      </c>
      <c r="P474">
        <v>15.286</v>
      </c>
      <c r="Q474">
        <v>6.4669999999999996</v>
      </c>
      <c r="R474">
        <v>0</v>
      </c>
      <c r="S474">
        <v>2</v>
      </c>
    </row>
    <row r="475" spans="14:19">
      <c r="N475">
        <v>474</v>
      </c>
      <c r="O475">
        <v>0</v>
      </c>
      <c r="P475">
        <v>15.592000000000001</v>
      </c>
      <c r="Q475">
        <v>6.6749999999999998</v>
      </c>
      <c r="R475">
        <v>0</v>
      </c>
      <c r="S475">
        <v>2</v>
      </c>
    </row>
    <row r="476" spans="14:19">
      <c r="N476">
        <v>475</v>
      </c>
      <c r="O476">
        <v>0</v>
      </c>
      <c r="P476">
        <v>16.314</v>
      </c>
      <c r="Q476">
        <v>6.6340000000000003</v>
      </c>
      <c r="R476">
        <v>0</v>
      </c>
      <c r="S476">
        <v>2</v>
      </c>
    </row>
    <row r="477" spans="14:19">
      <c r="N477">
        <v>476</v>
      </c>
      <c r="O477">
        <v>0</v>
      </c>
      <c r="P477">
        <v>14.564</v>
      </c>
      <c r="Q477">
        <v>6.6609999999999996</v>
      </c>
      <c r="R477">
        <v>0</v>
      </c>
      <c r="S477">
        <v>2</v>
      </c>
    </row>
    <row r="478" spans="14:19">
      <c r="N478">
        <v>477</v>
      </c>
      <c r="O478">
        <v>0</v>
      </c>
      <c r="P478">
        <v>14.939</v>
      </c>
      <c r="Q478">
        <v>6.9249999999999998</v>
      </c>
      <c r="R478">
        <v>0</v>
      </c>
      <c r="S478">
        <v>2</v>
      </c>
    </row>
    <row r="479" spans="14:19">
      <c r="N479">
        <v>478</v>
      </c>
      <c r="O479">
        <v>0</v>
      </c>
      <c r="P479">
        <v>14.036</v>
      </c>
      <c r="Q479">
        <v>6.37</v>
      </c>
      <c r="R479">
        <v>0</v>
      </c>
      <c r="S479">
        <v>2</v>
      </c>
    </row>
    <row r="480" spans="14:19">
      <c r="N480">
        <v>479</v>
      </c>
      <c r="O480">
        <v>0</v>
      </c>
      <c r="P480">
        <v>13.634</v>
      </c>
      <c r="Q480">
        <v>5.9530000000000003</v>
      </c>
      <c r="R480">
        <v>0</v>
      </c>
      <c r="S480">
        <v>2</v>
      </c>
    </row>
    <row r="481" spans="14:19">
      <c r="N481">
        <v>480</v>
      </c>
      <c r="O481">
        <v>0</v>
      </c>
      <c r="P481">
        <v>13.148</v>
      </c>
      <c r="Q481">
        <v>5.8</v>
      </c>
      <c r="R481">
        <v>0</v>
      </c>
      <c r="S481">
        <v>2</v>
      </c>
    </row>
    <row r="482" spans="14:19">
      <c r="N482">
        <v>481</v>
      </c>
      <c r="O482">
        <v>0</v>
      </c>
      <c r="P482">
        <v>13.189</v>
      </c>
      <c r="Q482">
        <v>6.0229999999999997</v>
      </c>
      <c r="R482">
        <v>0</v>
      </c>
      <c r="S482">
        <v>2</v>
      </c>
    </row>
    <row r="483" spans="14:19">
      <c r="N483">
        <v>482</v>
      </c>
      <c r="O483">
        <v>0</v>
      </c>
      <c r="P483">
        <v>12.786</v>
      </c>
      <c r="Q483">
        <v>4.7729999999999997</v>
      </c>
      <c r="R483">
        <v>0</v>
      </c>
      <c r="S483">
        <v>2</v>
      </c>
    </row>
    <row r="484" spans="14:19">
      <c r="N484">
        <v>483</v>
      </c>
      <c r="O484">
        <v>0</v>
      </c>
      <c r="P484">
        <v>12.786</v>
      </c>
      <c r="Q484">
        <v>4.4249999999999998</v>
      </c>
      <c r="R484">
        <v>0</v>
      </c>
      <c r="S484">
        <v>2</v>
      </c>
    </row>
    <row r="485" spans="14:19">
      <c r="N485">
        <v>484</v>
      </c>
      <c r="O485">
        <v>0</v>
      </c>
      <c r="P485">
        <v>13.384</v>
      </c>
      <c r="Q485">
        <v>3.7309999999999999</v>
      </c>
      <c r="R485">
        <v>0</v>
      </c>
      <c r="S485">
        <v>2</v>
      </c>
    </row>
    <row r="486" spans="14:19">
      <c r="N486">
        <v>485</v>
      </c>
      <c r="O486">
        <v>0</v>
      </c>
      <c r="P486">
        <v>12.648</v>
      </c>
      <c r="Q486">
        <v>4.0229999999999997</v>
      </c>
      <c r="R486">
        <v>0</v>
      </c>
      <c r="S486">
        <v>2</v>
      </c>
    </row>
    <row r="487" spans="14:19">
      <c r="N487">
        <v>486</v>
      </c>
      <c r="O487">
        <v>0</v>
      </c>
      <c r="P487">
        <v>12.62</v>
      </c>
      <c r="Q487">
        <v>3.4809999999999999</v>
      </c>
      <c r="R487">
        <v>0</v>
      </c>
      <c r="S487">
        <v>2</v>
      </c>
    </row>
    <row r="488" spans="14:19">
      <c r="N488">
        <v>487</v>
      </c>
      <c r="O488">
        <v>0</v>
      </c>
      <c r="P488">
        <v>10.452999999999999</v>
      </c>
      <c r="Q488">
        <v>2.411</v>
      </c>
      <c r="R488">
        <v>0</v>
      </c>
      <c r="S488">
        <v>2</v>
      </c>
    </row>
    <row r="489" spans="14:19">
      <c r="N489">
        <v>488</v>
      </c>
      <c r="O489">
        <v>0</v>
      </c>
      <c r="P489">
        <v>11.217000000000001</v>
      </c>
      <c r="Q489">
        <v>2.286</v>
      </c>
      <c r="R489">
        <v>0</v>
      </c>
      <c r="S489">
        <v>2</v>
      </c>
    </row>
    <row r="490" spans="14:19">
      <c r="N490">
        <v>489</v>
      </c>
      <c r="O490">
        <v>0</v>
      </c>
      <c r="P490">
        <v>18.077999999999999</v>
      </c>
      <c r="Q490">
        <v>5.8840000000000003</v>
      </c>
      <c r="R490">
        <v>0</v>
      </c>
      <c r="S490">
        <v>2</v>
      </c>
    </row>
    <row r="491" spans="14:19">
      <c r="N491">
        <v>490</v>
      </c>
      <c r="O491">
        <v>0</v>
      </c>
      <c r="P491">
        <v>19.273</v>
      </c>
      <c r="Q491">
        <v>6.4669999999999996</v>
      </c>
      <c r="R491">
        <v>0</v>
      </c>
      <c r="S491">
        <v>2</v>
      </c>
    </row>
    <row r="492" spans="14:19">
      <c r="N492">
        <v>491</v>
      </c>
      <c r="O492">
        <v>0</v>
      </c>
      <c r="P492">
        <v>12.12</v>
      </c>
      <c r="Q492">
        <v>3.9809999999999999</v>
      </c>
      <c r="R492">
        <v>0</v>
      </c>
      <c r="S492">
        <v>2</v>
      </c>
    </row>
    <row r="493" spans="14:19">
      <c r="N493">
        <v>492</v>
      </c>
      <c r="O493">
        <v>0</v>
      </c>
      <c r="P493">
        <v>11.786</v>
      </c>
      <c r="Q493">
        <v>4.3840000000000003</v>
      </c>
      <c r="R493">
        <v>0</v>
      </c>
      <c r="S493">
        <v>2</v>
      </c>
    </row>
    <row r="494" spans="14:19">
      <c r="N494">
        <v>493</v>
      </c>
      <c r="O494">
        <v>0</v>
      </c>
      <c r="P494">
        <v>11.634</v>
      </c>
      <c r="Q494">
        <v>5.0359999999999996</v>
      </c>
      <c r="R494">
        <v>0</v>
      </c>
      <c r="S494">
        <v>2</v>
      </c>
    </row>
    <row r="495" spans="14:19">
      <c r="N495">
        <v>494</v>
      </c>
      <c r="O495">
        <v>0</v>
      </c>
      <c r="P495">
        <v>11.661</v>
      </c>
      <c r="Q495">
        <v>5.3140000000000001</v>
      </c>
      <c r="R495">
        <v>0</v>
      </c>
      <c r="S495">
        <v>2</v>
      </c>
    </row>
    <row r="496" spans="14:19">
      <c r="N496">
        <v>495</v>
      </c>
      <c r="O496">
        <v>0</v>
      </c>
      <c r="P496">
        <v>11.077999999999999</v>
      </c>
      <c r="Q496">
        <v>5.0919999999999996</v>
      </c>
      <c r="R496">
        <v>0</v>
      </c>
      <c r="S496">
        <v>2</v>
      </c>
    </row>
    <row r="497" spans="14:19">
      <c r="N497">
        <v>496</v>
      </c>
      <c r="O497">
        <v>0</v>
      </c>
      <c r="P497">
        <v>11.036</v>
      </c>
      <c r="Q497">
        <v>5.3</v>
      </c>
      <c r="R497">
        <v>0</v>
      </c>
      <c r="S497">
        <v>2</v>
      </c>
    </row>
    <row r="498" spans="14:19">
      <c r="N498">
        <v>497</v>
      </c>
      <c r="O498">
        <v>0</v>
      </c>
      <c r="P498">
        <v>10.814</v>
      </c>
      <c r="Q498">
        <v>5.1609999999999996</v>
      </c>
      <c r="R498">
        <v>0</v>
      </c>
      <c r="S498">
        <v>2</v>
      </c>
    </row>
    <row r="499" spans="14:19">
      <c r="N499">
        <v>498</v>
      </c>
      <c r="O499">
        <v>0</v>
      </c>
      <c r="P499">
        <v>10.814</v>
      </c>
      <c r="Q499">
        <v>4.8559999999999999</v>
      </c>
      <c r="R499">
        <v>0</v>
      </c>
      <c r="S499">
        <v>2</v>
      </c>
    </row>
    <row r="500" spans="14:19">
      <c r="N500">
        <v>499</v>
      </c>
      <c r="O500">
        <v>0</v>
      </c>
      <c r="P500">
        <v>10.564</v>
      </c>
      <c r="Q500">
        <v>4.9809999999999999</v>
      </c>
      <c r="R500">
        <v>0</v>
      </c>
      <c r="S500">
        <v>2</v>
      </c>
    </row>
    <row r="501" spans="14:19">
      <c r="N501">
        <v>500</v>
      </c>
      <c r="O501">
        <v>0</v>
      </c>
      <c r="P501">
        <v>10.592000000000001</v>
      </c>
      <c r="Q501">
        <v>5.1749999999999998</v>
      </c>
      <c r="R501">
        <v>0</v>
      </c>
      <c r="S501">
        <v>2</v>
      </c>
    </row>
    <row r="502" spans="14:19">
      <c r="N502">
        <v>501</v>
      </c>
      <c r="O502">
        <v>0</v>
      </c>
      <c r="P502">
        <v>10.023</v>
      </c>
      <c r="Q502">
        <v>4.9390000000000001</v>
      </c>
      <c r="R502">
        <v>0</v>
      </c>
      <c r="S502">
        <v>2</v>
      </c>
    </row>
    <row r="503" spans="14:19">
      <c r="N503">
        <v>502</v>
      </c>
      <c r="O503">
        <v>0</v>
      </c>
      <c r="P503">
        <v>9.1750000000000007</v>
      </c>
      <c r="Q503">
        <v>4.5919999999999996</v>
      </c>
      <c r="R503">
        <v>0</v>
      </c>
      <c r="S503">
        <v>2</v>
      </c>
    </row>
    <row r="504" spans="14:19">
      <c r="N504">
        <v>503</v>
      </c>
      <c r="O504">
        <v>0</v>
      </c>
      <c r="P504">
        <v>9.6890000000000001</v>
      </c>
      <c r="Q504">
        <v>3.4809999999999999</v>
      </c>
      <c r="R504">
        <v>0</v>
      </c>
      <c r="S504">
        <v>2</v>
      </c>
    </row>
    <row r="505" spans="14:19">
      <c r="N505">
        <v>504</v>
      </c>
      <c r="O505">
        <v>0</v>
      </c>
      <c r="P505">
        <v>9.4390000000000001</v>
      </c>
      <c r="Q505">
        <v>2.6749999999999998</v>
      </c>
      <c r="R505">
        <v>0</v>
      </c>
      <c r="S505">
        <v>2</v>
      </c>
    </row>
    <row r="506" spans="14:19">
      <c r="N506">
        <v>505</v>
      </c>
      <c r="O506">
        <v>0</v>
      </c>
      <c r="P506">
        <v>8.8279999999999994</v>
      </c>
      <c r="Q506">
        <v>3.1059999999999999</v>
      </c>
      <c r="R506">
        <v>0</v>
      </c>
      <c r="S506">
        <v>2</v>
      </c>
    </row>
    <row r="507" spans="14:19">
      <c r="N507">
        <v>506</v>
      </c>
      <c r="O507">
        <v>0</v>
      </c>
      <c r="P507">
        <v>8.8699999999999992</v>
      </c>
      <c r="Q507">
        <v>3.536</v>
      </c>
      <c r="R507">
        <v>0</v>
      </c>
      <c r="S507">
        <v>2</v>
      </c>
    </row>
    <row r="508" spans="14:19">
      <c r="N508">
        <v>507</v>
      </c>
      <c r="O508">
        <v>0</v>
      </c>
      <c r="P508">
        <v>8.8699999999999992</v>
      </c>
      <c r="Q508">
        <v>3.9249999999999998</v>
      </c>
      <c r="R508">
        <v>0</v>
      </c>
      <c r="S508">
        <v>2</v>
      </c>
    </row>
    <row r="509" spans="14:19">
      <c r="N509">
        <v>508</v>
      </c>
      <c r="O509">
        <v>0</v>
      </c>
      <c r="P509">
        <v>8.4250000000000007</v>
      </c>
      <c r="Q509">
        <v>4.1340000000000003</v>
      </c>
      <c r="R509">
        <v>0</v>
      </c>
      <c r="S509">
        <v>2</v>
      </c>
    </row>
    <row r="510" spans="14:19">
      <c r="N510">
        <v>509</v>
      </c>
      <c r="O510">
        <v>0</v>
      </c>
      <c r="P510">
        <v>8.0359999999999996</v>
      </c>
      <c r="Q510">
        <v>3.9249999999999998</v>
      </c>
      <c r="R510">
        <v>0</v>
      </c>
      <c r="S510">
        <v>2</v>
      </c>
    </row>
    <row r="511" spans="14:19">
      <c r="N511">
        <v>510</v>
      </c>
      <c r="O511">
        <v>0</v>
      </c>
      <c r="P511">
        <v>7.9530000000000003</v>
      </c>
      <c r="Q511">
        <v>3.3140000000000001</v>
      </c>
      <c r="R511">
        <v>0</v>
      </c>
      <c r="S511">
        <v>2</v>
      </c>
    </row>
    <row r="512" spans="14:19">
      <c r="N512">
        <v>511</v>
      </c>
      <c r="O512">
        <v>0</v>
      </c>
      <c r="P512">
        <v>7.6749999999999998</v>
      </c>
      <c r="Q512">
        <v>3.3420000000000001</v>
      </c>
      <c r="R512">
        <v>0</v>
      </c>
      <c r="S512">
        <v>2</v>
      </c>
    </row>
    <row r="513" spans="14:19">
      <c r="N513">
        <v>512</v>
      </c>
      <c r="O513">
        <v>0</v>
      </c>
      <c r="P513">
        <v>7.6340000000000003</v>
      </c>
      <c r="Q513">
        <v>3.0230000000000001</v>
      </c>
      <c r="R513">
        <v>0</v>
      </c>
      <c r="S513">
        <v>2</v>
      </c>
    </row>
    <row r="514" spans="14:19">
      <c r="N514">
        <v>513</v>
      </c>
      <c r="O514">
        <v>0</v>
      </c>
      <c r="P514">
        <v>7.3280000000000003</v>
      </c>
      <c r="Q514">
        <v>3.0779999999999998</v>
      </c>
      <c r="R514">
        <v>0</v>
      </c>
      <c r="S514">
        <v>2</v>
      </c>
    </row>
    <row r="515" spans="14:19">
      <c r="N515">
        <v>514</v>
      </c>
      <c r="O515">
        <v>0</v>
      </c>
      <c r="P515">
        <v>6.7729999999999997</v>
      </c>
      <c r="Q515">
        <v>3.1749999999999998</v>
      </c>
      <c r="R515">
        <v>0</v>
      </c>
      <c r="S515">
        <v>2</v>
      </c>
    </row>
    <row r="516" spans="14:19">
      <c r="N516">
        <v>515</v>
      </c>
      <c r="O516">
        <v>0</v>
      </c>
      <c r="P516">
        <v>7.55</v>
      </c>
      <c r="Q516">
        <v>3.8420000000000001</v>
      </c>
      <c r="R516">
        <v>0</v>
      </c>
      <c r="S516">
        <v>2</v>
      </c>
    </row>
    <row r="517" spans="14:19">
      <c r="N517">
        <v>516</v>
      </c>
      <c r="O517">
        <v>0</v>
      </c>
      <c r="P517">
        <v>11.356</v>
      </c>
      <c r="Q517">
        <v>1.1339999999999999</v>
      </c>
      <c r="R517">
        <v>0</v>
      </c>
      <c r="S517">
        <v>3</v>
      </c>
    </row>
    <row r="518" spans="14:19">
      <c r="N518">
        <v>517</v>
      </c>
      <c r="O518">
        <v>0</v>
      </c>
      <c r="P518">
        <v>10.827999999999999</v>
      </c>
      <c r="Q518">
        <v>1.661</v>
      </c>
      <c r="R518">
        <v>0</v>
      </c>
      <c r="S518">
        <v>3</v>
      </c>
    </row>
    <row r="519" spans="14:19">
      <c r="N519">
        <v>518</v>
      </c>
      <c r="O519">
        <v>0</v>
      </c>
      <c r="P519">
        <v>10.398</v>
      </c>
      <c r="Q519">
        <v>2.4950000000000001</v>
      </c>
      <c r="R519">
        <v>0</v>
      </c>
      <c r="S519">
        <v>3</v>
      </c>
    </row>
    <row r="520" spans="14:19">
      <c r="N520">
        <v>519</v>
      </c>
      <c r="O520">
        <v>0</v>
      </c>
      <c r="P520">
        <v>9.3279999999999994</v>
      </c>
      <c r="Q520">
        <v>2.9809999999999999</v>
      </c>
      <c r="R520">
        <v>0</v>
      </c>
      <c r="S520">
        <v>3</v>
      </c>
    </row>
    <row r="521" spans="14:19">
      <c r="N521">
        <v>520</v>
      </c>
      <c r="O521">
        <v>0</v>
      </c>
      <c r="P521">
        <v>9.8279999999999994</v>
      </c>
      <c r="Q521">
        <v>3.37</v>
      </c>
      <c r="R521">
        <v>0</v>
      </c>
      <c r="S521">
        <v>3</v>
      </c>
    </row>
    <row r="522" spans="14:19">
      <c r="N522">
        <v>521</v>
      </c>
      <c r="O522">
        <v>0</v>
      </c>
      <c r="P522">
        <v>9.2729999999999997</v>
      </c>
      <c r="Q522">
        <v>3.6480000000000001</v>
      </c>
      <c r="R522">
        <v>0</v>
      </c>
      <c r="S522">
        <v>3</v>
      </c>
    </row>
    <row r="523" spans="14:19">
      <c r="N523">
        <v>522</v>
      </c>
      <c r="O523">
        <v>0</v>
      </c>
      <c r="P523">
        <v>9.2029999999999994</v>
      </c>
      <c r="Q523">
        <v>4.12</v>
      </c>
      <c r="R523">
        <v>0</v>
      </c>
      <c r="S523">
        <v>3</v>
      </c>
    </row>
    <row r="524" spans="14:19">
      <c r="N524">
        <v>523</v>
      </c>
      <c r="O524">
        <v>0</v>
      </c>
      <c r="P524">
        <v>8.6609999999999996</v>
      </c>
      <c r="Q524">
        <v>4.12</v>
      </c>
      <c r="R524">
        <v>0</v>
      </c>
      <c r="S524">
        <v>3</v>
      </c>
    </row>
    <row r="525" spans="14:19">
      <c r="N525">
        <v>524</v>
      </c>
      <c r="O525">
        <v>0</v>
      </c>
      <c r="P525">
        <v>9.6059999999999999</v>
      </c>
      <c r="Q525">
        <v>4.1340000000000003</v>
      </c>
      <c r="R525">
        <v>0</v>
      </c>
      <c r="S525">
        <v>3</v>
      </c>
    </row>
    <row r="526" spans="14:19">
      <c r="N526">
        <v>525</v>
      </c>
      <c r="O526">
        <v>0</v>
      </c>
      <c r="P526">
        <v>9.4109999999999996</v>
      </c>
      <c r="Q526">
        <v>4.5919999999999996</v>
      </c>
      <c r="R526">
        <v>0</v>
      </c>
      <c r="S526">
        <v>3</v>
      </c>
    </row>
    <row r="527" spans="14:19">
      <c r="N527">
        <v>526</v>
      </c>
      <c r="O527">
        <v>0</v>
      </c>
      <c r="P527">
        <v>9.3979999999999997</v>
      </c>
      <c r="Q527">
        <v>4.9530000000000003</v>
      </c>
      <c r="R527">
        <v>0</v>
      </c>
      <c r="S527">
        <v>3</v>
      </c>
    </row>
    <row r="528" spans="14:19">
      <c r="N528">
        <v>527</v>
      </c>
      <c r="O528">
        <v>0</v>
      </c>
      <c r="P528">
        <v>9.9109999999999996</v>
      </c>
      <c r="Q528">
        <v>4.37</v>
      </c>
      <c r="R528">
        <v>0</v>
      </c>
      <c r="S528">
        <v>3</v>
      </c>
    </row>
    <row r="529" spans="14:19">
      <c r="N529">
        <v>528</v>
      </c>
      <c r="O529">
        <v>0</v>
      </c>
      <c r="P529">
        <v>9.8420000000000005</v>
      </c>
      <c r="Q529">
        <v>4.7859999999999996</v>
      </c>
      <c r="R529">
        <v>0</v>
      </c>
      <c r="S529">
        <v>3</v>
      </c>
    </row>
    <row r="530" spans="14:19">
      <c r="N530">
        <v>529</v>
      </c>
      <c r="O530">
        <v>0</v>
      </c>
      <c r="P530">
        <v>9.6890000000000001</v>
      </c>
      <c r="Q530">
        <v>5.1609999999999996</v>
      </c>
      <c r="R530">
        <v>0</v>
      </c>
      <c r="S530">
        <v>3</v>
      </c>
    </row>
    <row r="531" spans="14:19">
      <c r="N531">
        <v>530</v>
      </c>
      <c r="O531">
        <v>0</v>
      </c>
      <c r="P531">
        <v>9.9949999999999992</v>
      </c>
      <c r="Q531">
        <v>5.1059999999999999</v>
      </c>
      <c r="R531">
        <v>0</v>
      </c>
      <c r="S531">
        <v>3</v>
      </c>
    </row>
    <row r="532" spans="14:19">
      <c r="N532">
        <v>531</v>
      </c>
      <c r="O532">
        <v>0</v>
      </c>
      <c r="P532">
        <v>10.259</v>
      </c>
      <c r="Q532">
        <v>4.8979999999999997</v>
      </c>
      <c r="R532">
        <v>0</v>
      </c>
      <c r="S532">
        <v>3</v>
      </c>
    </row>
    <row r="533" spans="14:19">
      <c r="N533">
        <v>532</v>
      </c>
      <c r="O533">
        <v>0</v>
      </c>
      <c r="P533">
        <v>9.3699999999999992</v>
      </c>
      <c r="Q533">
        <v>5.5359999999999996</v>
      </c>
      <c r="R533">
        <v>0</v>
      </c>
      <c r="S533">
        <v>3</v>
      </c>
    </row>
    <row r="534" spans="14:19">
      <c r="N534">
        <v>533</v>
      </c>
      <c r="O534">
        <v>0</v>
      </c>
      <c r="P534">
        <v>8.9809999999999999</v>
      </c>
      <c r="Q534">
        <v>5.9249999999999998</v>
      </c>
      <c r="R534">
        <v>0</v>
      </c>
      <c r="S534">
        <v>3</v>
      </c>
    </row>
    <row r="535" spans="14:19">
      <c r="N535">
        <v>534</v>
      </c>
      <c r="O535">
        <v>0</v>
      </c>
      <c r="P535">
        <v>8.5359999999999996</v>
      </c>
      <c r="Q535">
        <v>6.2169999999999996</v>
      </c>
      <c r="R535">
        <v>0</v>
      </c>
      <c r="S535">
        <v>3</v>
      </c>
    </row>
    <row r="536" spans="14:19">
      <c r="N536">
        <v>535</v>
      </c>
      <c r="O536">
        <v>0</v>
      </c>
      <c r="P536">
        <v>8.8000000000000007</v>
      </c>
      <c r="Q536">
        <v>6.5919999999999996</v>
      </c>
      <c r="R536">
        <v>0</v>
      </c>
      <c r="S536">
        <v>3</v>
      </c>
    </row>
    <row r="537" spans="14:19">
      <c r="N537">
        <v>536</v>
      </c>
      <c r="O537">
        <v>0</v>
      </c>
      <c r="P537">
        <v>9.2729999999999997</v>
      </c>
      <c r="Q537">
        <v>6.62</v>
      </c>
      <c r="R537">
        <v>0</v>
      </c>
      <c r="S537">
        <v>3</v>
      </c>
    </row>
    <row r="538" spans="14:19">
      <c r="N538">
        <v>537</v>
      </c>
      <c r="O538">
        <v>0</v>
      </c>
      <c r="P538">
        <v>9.0500000000000007</v>
      </c>
      <c r="Q538">
        <v>6.9390000000000001</v>
      </c>
      <c r="R538">
        <v>0</v>
      </c>
      <c r="S538">
        <v>3</v>
      </c>
    </row>
    <row r="539" spans="14:19">
      <c r="N539">
        <v>538</v>
      </c>
      <c r="O539">
        <v>0</v>
      </c>
      <c r="P539">
        <v>8.3140000000000001</v>
      </c>
      <c r="Q539">
        <v>6.5780000000000003</v>
      </c>
      <c r="R539">
        <v>0</v>
      </c>
      <c r="S539">
        <v>3</v>
      </c>
    </row>
    <row r="540" spans="14:19">
      <c r="N540">
        <v>539</v>
      </c>
      <c r="O540">
        <v>0</v>
      </c>
      <c r="P540">
        <v>8.1479999999999997</v>
      </c>
      <c r="Q540">
        <v>6.9669999999999996</v>
      </c>
      <c r="R540">
        <v>0</v>
      </c>
      <c r="S540">
        <v>3</v>
      </c>
    </row>
    <row r="541" spans="14:19">
      <c r="N541">
        <v>540</v>
      </c>
      <c r="O541">
        <v>0</v>
      </c>
      <c r="P541">
        <v>7.5919999999999996</v>
      </c>
      <c r="Q541">
        <v>7.0640000000000001</v>
      </c>
      <c r="R541">
        <v>0</v>
      </c>
      <c r="S541">
        <v>3</v>
      </c>
    </row>
    <row r="542" spans="14:19">
      <c r="N542">
        <v>541</v>
      </c>
      <c r="O542">
        <v>0</v>
      </c>
      <c r="P542">
        <v>7.7169999999999996</v>
      </c>
      <c r="Q542">
        <v>6.7309999999999999</v>
      </c>
      <c r="R542">
        <v>0</v>
      </c>
      <c r="S542">
        <v>3</v>
      </c>
    </row>
    <row r="543" spans="14:19">
      <c r="N543">
        <v>542</v>
      </c>
      <c r="O543">
        <v>0</v>
      </c>
      <c r="P543">
        <v>7.87</v>
      </c>
      <c r="Q543">
        <v>6.4249999999999998</v>
      </c>
      <c r="R543">
        <v>0</v>
      </c>
      <c r="S543">
        <v>3</v>
      </c>
    </row>
    <row r="544" spans="14:19">
      <c r="N544">
        <v>543</v>
      </c>
      <c r="O544">
        <v>0</v>
      </c>
      <c r="P544">
        <v>7.4950000000000001</v>
      </c>
      <c r="Q544">
        <v>6.2729999999999997</v>
      </c>
      <c r="R544">
        <v>0</v>
      </c>
      <c r="S544">
        <v>3</v>
      </c>
    </row>
    <row r="545" spans="14:19">
      <c r="N545">
        <v>544</v>
      </c>
      <c r="O545">
        <v>0</v>
      </c>
      <c r="P545">
        <v>7.2450000000000001</v>
      </c>
      <c r="Q545">
        <v>5.87</v>
      </c>
      <c r="R545">
        <v>0</v>
      </c>
      <c r="S545">
        <v>3</v>
      </c>
    </row>
    <row r="546" spans="14:19">
      <c r="N546">
        <v>545</v>
      </c>
      <c r="O546">
        <v>0</v>
      </c>
      <c r="P546">
        <v>6.5359999999999996</v>
      </c>
      <c r="Q546">
        <v>6.6059999999999999</v>
      </c>
      <c r="R546">
        <v>0</v>
      </c>
      <c r="S546">
        <v>3</v>
      </c>
    </row>
    <row r="547" spans="14:19">
      <c r="N547">
        <v>546</v>
      </c>
      <c r="O547">
        <v>0</v>
      </c>
      <c r="P547">
        <v>6.4249999999999998</v>
      </c>
      <c r="Q547">
        <v>7.0919999999999996</v>
      </c>
      <c r="R547">
        <v>0</v>
      </c>
      <c r="S547">
        <v>3</v>
      </c>
    </row>
    <row r="548" spans="14:19">
      <c r="N548">
        <v>547</v>
      </c>
      <c r="O548">
        <v>0</v>
      </c>
      <c r="P548">
        <v>6.1340000000000003</v>
      </c>
      <c r="Q548">
        <v>7.3979999999999997</v>
      </c>
      <c r="R548">
        <v>0</v>
      </c>
      <c r="S548">
        <v>3</v>
      </c>
    </row>
    <row r="549" spans="14:19">
      <c r="N549">
        <v>548</v>
      </c>
      <c r="O549">
        <v>0</v>
      </c>
      <c r="P549">
        <v>5.9669999999999996</v>
      </c>
      <c r="Q549">
        <v>7.6609999999999996</v>
      </c>
      <c r="R549">
        <v>0</v>
      </c>
      <c r="S549">
        <v>3</v>
      </c>
    </row>
    <row r="550" spans="14:19">
      <c r="N550">
        <v>549</v>
      </c>
      <c r="O550">
        <v>0</v>
      </c>
      <c r="P550">
        <v>7.4950000000000001</v>
      </c>
      <c r="Q550">
        <v>7.8280000000000003</v>
      </c>
      <c r="R550">
        <v>0</v>
      </c>
      <c r="S550">
        <v>3</v>
      </c>
    </row>
    <row r="551" spans="14:19">
      <c r="N551">
        <v>550</v>
      </c>
      <c r="O551">
        <v>0</v>
      </c>
      <c r="P551">
        <v>8.3979999999999997</v>
      </c>
      <c r="Q551">
        <v>8.0640000000000001</v>
      </c>
      <c r="R551">
        <v>0</v>
      </c>
      <c r="S551">
        <v>3</v>
      </c>
    </row>
    <row r="552" spans="14:19">
      <c r="N552">
        <v>551</v>
      </c>
      <c r="O552">
        <v>0</v>
      </c>
      <c r="P552">
        <v>8.1609999999999996</v>
      </c>
      <c r="Q552">
        <v>8.0640000000000001</v>
      </c>
      <c r="R552">
        <v>0</v>
      </c>
      <c r="S552">
        <v>3</v>
      </c>
    </row>
    <row r="553" spans="14:19">
      <c r="N553">
        <v>552</v>
      </c>
      <c r="O553">
        <v>0</v>
      </c>
      <c r="P553">
        <v>7.7450000000000001</v>
      </c>
      <c r="Q553">
        <v>8.3559999999999999</v>
      </c>
      <c r="R553">
        <v>0</v>
      </c>
      <c r="S553">
        <v>3</v>
      </c>
    </row>
    <row r="554" spans="14:19">
      <c r="N554">
        <v>553</v>
      </c>
      <c r="O554">
        <v>0</v>
      </c>
      <c r="P554">
        <v>7.4530000000000003</v>
      </c>
      <c r="Q554">
        <v>8.7309999999999999</v>
      </c>
      <c r="R554">
        <v>0</v>
      </c>
      <c r="S554">
        <v>3</v>
      </c>
    </row>
    <row r="555" spans="14:19">
      <c r="N555">
        <v>554</v>
      </c>
      <c r="O555">
        <v>0</v>
      </c>
      <c r="P555">
        <v>7.1609999999999996</v>
      </c>
      <c r="Q555">
        <v>8.9250000000000007</v>
      </c>
      <c r="R555">
        <v>0</v>
      </c>
      <c r="S555">
        <v>3</v>
      </c>
    </row>
    <row r="556" spans="14:19">
      <c r="N556">
        <v>555</v>
      </c>
      <c r="O556">
        <v>0</v>
      </c>
      <c r="P556">
        <v>7.6479999999999997</v>
      </c>
      <c r="Q556">
        <v>8.9529999999999994</v>
      </c>
      <c r="R556">
        <v>0</v>
      </c>
      <c r="S556">
        <v>3</v>
      </c>
    </row>
    <row r="557" spans="14:19">
      <c r="N557">
        <v>556</v>
      </c>
      <c r="O557">
        <v>0</v>
      </c>
      <c r="P557">
        <v>7.6609999999999996</v>
      </c>
      <c r="Q557">
        <v>9.2170000000000005</v>
      </c>
      <c r="R557">
        <v>0</v>
      </c>
      <c r="S557">
        <v>3</v>
      </c>
    </row>
    <row r="558" spans="14:19">
      <c r="N558">
        <v>557</v>
      </c>
      <c r="O558">
        <v>0</v>
      </c>
      <c r="P558">
        <v>6.7030000000000003</v>
      </c>
      <c r="Q558">
        <v>8.8840000000000003</v>
      </c>
      <c r="R558">
        <v>0</v>
      </c>
      <c r="S558">
        <v>3</v>
      </c>
    </row>
    <row r="559" spans="14:19">
      <c r="N559">
        <v>558</v>
      </c>
      <c r="O559">
        <v>0</v>
      </c>
      <c r="P559">
        <v>6.3979999999999997</v>
      </c>
      <c r="Q559">
        <v>8.9949999999999992</v>
      </c>
      <c r="R559">
        <v>0</v>
      </c>
      <c r="S559">
        <v>3</v>
      </c>
    </row>
    <row r="560" spans="14:19">
      <c r="N560">
        <v>559</v>
      </c>
      <c r="O560">
        <v>0</v>
      </c>
      <c r="P560">
        <v>6.2590000000000003</v>
      </c>
      <c r="Q560">
        <v>9.2729999999999997</v>
      </c>
      <c r="R560">
        <v>0</v>
      </c>
      <c r="S560">
        <v>3</v>
      </c>
    </row>
    <row r="561" spans="14:19">
      <c r="N561">
        <v>560</v>
      </c>
      <c r="O561">
        <v>0</v>
      </c>
      <c r="P561">
        <v>6.2450000000000001</v>
      </c>
      <c r="Q561">
        <v>9.4250000000000007</v>
      </c>
      <c r="R561">
        <v>0</v>
      </c>
      <c r="S561">
        <v>3</v>
      </c>
    </row>
    <row r="562" spans="14:19">
      <c r="N562">
        <v>561</v>
      </c>
      <c r="O562">
        <v>0</v>
      </c>
      <c r="P562">
        <v>6.2729999999999997</v>
      </c>
      <c r="Q562">
        <v>10.148</v>
      </c>
      <c r="R562">
        <v>0</v>
      </c>
      <c r="S562">
        <v>3</v>
      </c>
    </row>
    <row r="563" spans="14:19">
      <c r="N563">
        <v>562</v>
      </c>
      <c r="O563">
        <v>0</v>
      </c>
      <c r="P563">
        <v>5.9390000000000001</v>
      </c>
      <c r="Q563">
        <v>10.773</v>
      </c>
      <c r="R563">
        <v>0</v>
      </c>
      <c r="S563">
        <v>3</v>
      </c>
    </row>
    <row r="564" spans="14:19">
      <c r="N564">
        <v>563</v>
      </c>
      <c r="O564">
        <v>0</v>
      </c>
      <c r="P564">
        <v>5.6479999999999997</v>
      </c>
      <c r="Q564">
        <v>11.55</v>
      </c>
      <c r="R564">
        <v>0</v>
      </c>
      <c r="S564">
        <v>3</v>
      </c>
    </row>
    <row r="565" spans="14:19">
      <c r="N565">
        <v>564</v>
      </c>
      <c r="O565">
        <v>0</v>
      </c>
      <c r="P565">
        <v>5.9950000000000001</v>
      </c>
      <c r="Q565">
        <v>11.925000000000001</v>
      </c>
      <c r="R565">
        <v>0</v>
      </c>
      <c r="S565">
        <v>3</v>
      </c>
    </row>
    <row r="566" spans="14:19">
      <c r="N566">
        <v>565</v>
      </c>
      <c r="O566">
        <v>0</v>
      </c>
      <c r="P566">
        <v>6.1059999999999999</v>
      </c>
      <c r="Q566">
        <v>12.3</v>
      </c>
      <c r="R566">
        <v>0</v>
      </c>
      <c r="S566">
        <v>3</v>
      </c>
    </row>
    <row r="567" spans="14:19">
      <c r="N567">
        <v>566</v>
      </c>
      <c r="O567">
        <v>0</v>
      </c>
      <c r="P567">
        <v>6.5780000000000003</v>
      </c>
      <c r="Q567">
        <v>12.398</v>
      </c>
      <c r="R567">
        <v>0</v>
      </c>
      <c r="S567">
        <v>3</v>
      </c>
    </row>
    <row r="568" spans="14:19">
      <c r="N568">
        <v>567</v>
      </c>
      <c r="O568">
        <v>0</v>
      </c>
      <c r="P568">
        <v>6.6890000000000001</v>
      </c>
      <c r="Q568">
        <v>13.439</v>
      </c>
      <c r="R568">
        <v>0</v>
      </c>
      <c r="S568">
        <v>3</v>
      </c>
    </row>
    <row r="569" spans="14:19">
      <c r="N569">
        <v>568</v>
      </c>
      <c r="O569">
        <v>0</v>
      </c>
      <c r="P569">
        <v>5.7450000000000001</v>
      </c>
      <c r="Q569">
        <v>13.731</v>
      </c>
      <c r="R569">
        <v>0</v>
      </c>
      <c r="S569">
        <v>3</v>
      </c>
    </row>
    <row r="570" spans="14:19">
      <c r="N570">
        <v>569</v>
      </c>
      <c r="O570">
        <v>0</v>
      </c>
      <c r="P570">
        <v>5.9809999999999999</v>
      </c>
      <c r="Q570">
        <v>13.327999999999999</v>
      </c>
      <c r="R570">
        <v>0</v>
      </c>
      <c r="S570">
        <v>3</v>
      </c>
    </row>
    <row r="571" spans="14:19">
      <c r="N571">
        <v>570</v>
      </c>
      <c r="O571">
        <v>0</v>
      </c>
      <c r="P571">
        <v>6.8559999999999999</v>
      </c>
      <c r="Q571">
        <v>11.342000000000001</v>
      </c>
      <c r="R571">
        <v>0</v>
      </c>
      <c r="S571">
        <v>3</v>
      </c>
    </row>
    <row r="572" spans="14:19">
      <c r="N572">
        <v>571</v>
      </c>
      <c r="O572">
        <v>0</v>
      </c>
      <c r="P572">
        <v>6.7450000000000001</v>
      </c>
      <c r="Q572">
        <v>10.702999999999999</v>
      </c>
      <c r="R572">
        <v>0</v>
      </c>
      <c r="S572">
        <v>3</v>
      </c>
    </row>
    <row r="573" spans="14:19">
      <c r="N573">
        <v>572</v>
      </c>
      <c r="O573">
        <v>0</v>
      </c>
      <c r="P573">
        <v>6.5919999999999996</v>
      </c>
      <c r="Q573">
        <v>10.494999999999999</v>
      </c>
      <c r="R573">
        <v>0</v>
      </c>
      <c r="S573">
        <v>3</v>
      </c>
    </row>
    <row r="574" spans="14:19">
      <c r="N574">
        <v>573</v>
      </c>
      <c r="O574">
        <v>0</v>
      </c>
      <c r="P574">
        <v>6.8559999999999999</v>
      </c>
      <c r="Q574">
        <v>10.161</v>
      </c>
      <c r="R574">
        <v>0</v>
      </c>
      <c r="S574">
        <v>3</v>
      </c>
    </row>
    <row r="575" spans="14:19">
      <c r="N575">
        <v>574</v>
      </c>
      <c r="O575">
        <v>0</v>
      </c>
      <c r="P575">
        <v>6.6749999999999998</v>
      </c>
      <c r="Q575">
        <v>9.9949999999999992</v>
      </c>
      <c r="R575">
        <v>0</v>
      </c>
      <c r="S575">
        <v>3</v>
      </c>
    </row>
    <row r="576" spans="14:19">
      <c r="N576">
        <v>575</v>
      </c>
      <c r="O576">
        <v>0</v>
      </c>
      <c r="P576">
        <v>6.7729999999999997</v>
      </c>
      <c r="Q576">
        <v>9.8140000000000001</v>
      </c>
      <c r="R576">
        <v>0</v>
      </c>
      <c r="S576">
        <v>3</v>
      </c>
    </row>
    <row r="577" spans="14:19">
      <c r="N577">
        <v>576</v>
      </c>
      <c r="O577">
        <v>0</v>
      </c>
      <c r="P577">
        <v>6.6890000000000001</v>
      </c>
      <c r="Q577">
        <v>9.4670000000000005</v>
      </c>
      <c r="R577">
        <v>0</v>
      </c>
      <c r="S577">
        <v>3</v>
      </c>
    </row>
    <row r="578" spans="14:19">
      <c r="N578">
        <v>577</v>
      </c>
      <c r="O578">
        <v>0</v>
      </c>
      <c r="P578">
        <v>7.0090000000000003</v>
      </c>
      <c r="Q578">
        <v>9.4529999999999994</v>
      </c>
      <c r="R578">
        <v>0</v>
      </c>
      <c r="S578">
        <v>3</v>
      </c>
    </row>
    <row r="579" spans="14:19">
      <c r="N579">
        <v>578</v>
      </c>
      <c r="O579">
        <v>0</v>
      </c>
      <c r="P579">
        <v>7.0780000000000003</v>
      </c>
      <c r="Q579">
        <v>9.1199999999999992</v>
      </c>
      <c r="R579">
        <v>0</v>
      </c>
      <c r="S579">
        <v>3</v>
      </c>
    </row>
    <row r="580" spans="14:19">
      <c r="N580">
        <v>579</v>
      </c>
      <c r="O580">
        <v>0</v>
      </c>
      <c r="P580">
        <v>7.4249999999999998</v>
      </c>
      <c r="Q580">
        <v>10.092000000000001</v>
      </c>
      <c r="R580">
        <v>0</v>
      </c>
      <c r="S580">
        <v>3</v>
      </c>
    </row>
    <row r="581" spans="14:19">
      <c r="N581">
        <v>580</v>
      </c>
      <c r="O581">
        <v>0</v>
      </c>
      <c r="P581">
        <v>7.5090000000000003</v>
      </c>
      <c r="Q581">
        <v>10.55</v>
      </c>
      <c r="R581">
        <v>0</v>
      </c>
      <c r="S581">
        <v>3</v>
      </c>
    </row>
    <row r="582" spans="14:19">
      <c r="N582">
        <v>581</v>
      </c>
      <c r="O582">
        <v>0</v>
      </c>
      <c r="P582">
        <v>7.8</v>
      </c>
      <c r="Q582">
        <v>10.425000000000001</v>
      </c>
      <c r="R582">
        <v>0</v>
      </c>
      <c r="S582">
        <v>3</v>
      </c>
    </row>
    <row r="583" spans="14:19">
      <c r="N583">
        <v>582</v>
      </c>
      <c r="O583">
        <v>0</v>
      </c>
      <c r="P583">
        <v>7.3559999999999999</v>
      </c>
      <c r="Q583">
        <v>10.911</v>
      </c>
      <c r="R583">
        <v>0</v>
      </c>
      <c r="S583">
        <v>3</v>
      </c>
    </row>
    <row r="584" spans="14:19">
      <c r="N584">
        <v>583</v>
      </c>
      <c r="O584">
        <v>0</v>
      </c>
      <c r="P584">
        <v>7.5359999999999996</v>
      </c>
      <c r="Q584">
        <v>11.286</v>
      </c>
      <c r="R584">
        <v>0</v>
      </c>
      <c r="S584">
        <v>3</v>
      </c>
    </row>
    <row r="585" spans="14:19">
      <c r="N585">
        <v>584</v>
      </c>
      <c r="O585">
        <v>0</v>
      </c>
      <c r="P585">
        <v>7.9249999999999998</v>
      </c>
      <c r="Q585">
        <v>11.077999999999999</v>
      </c>
      <c r="R585">
        <v>0</v>
      </c>
      <c r="S585">
        <v>3</v>
      </c>
    </row>
    <row r="586" spans="14:19">
      <c r="N586">
        <v>585</v>
      </c>
      <c r="O586">
        <v>0</v>
      </c>
      <c r="P586">
        <v>7.9390000000000001</v>
      </c>
      <c r="Q586">
        <v>11.356</v>
      </c>
      <c r="R586">
        <v>0</v>
      </c>
      <c r="S586">
        <v>3</v>
      </c>
    </row>
    <row r="587" spans="14:19">
      <c r="N587">
        <v>586</v>
      </c>
      <c r="O587">
        <v>0</v>
      </c>
      <c r="P587">
        <v>7.7859999999999996</v>
      </c>
      <c r="Q587">
        <v>11.675000000000001</v>
      </c>
      <c r="R587">
        <v>0</v>
      </c>
      <c r="S587">
        <v>3</v>
      </c>
    </row>
    <row r="588" spans="14:19">
      <c r="N588">
        <v>587</v>
      </c>
      <c r="O588">
        <v>0</v>
      </c>
      <c r="P588">
        <v>7.3419999999999996</v>
      </c>
      <c r="Q588">
        <v>11.87</v>
      </c>
      <c r="R588">
        <v>0</v>
      </c>
      <c r="S588">
        <v>3</v>
      </c>
    </row>
    <row r="589" spans="14:19">
      <c r="N589">
        <v>588</v>
      </c>
      <c r="O589">
        <v>0</v>
      </c>
      <c r="P589">
        <v>7.6609999999999996</v>
      </c>
      <c r="Q589">
        <v>12.314</v>
      </c>
      <c r="R589">
        <v>0</v>
      </c>
      <c r="S589">
        <v>3</v>
      </c>
    </row>
    <row r="590" spans="14:19">
      <c r="N590">
        <v>589</v>
      </c>
      <c r="O590">
        <v>0</v>
      </c>
      <c r="P590">
        <v>7.7030000000000003</v>
      </c>
      <c r="Q590">
        <v>12.648</v>
      </c>
      <c r="R590">
        <v>0</v>
      </c>
      <c r="S590">
        <v>3</v>
      </c>
    </row>
    <row r="591" spans="14:19">
      <c r="N591">
        <v>590</v>
      </c>
      <c r="O591">
        <v>0</v>
      </c>
      <c r="P591">
        <v>8.3840000000000003</v>
      </c>
      <c r="Q591">
        <v>12.077999999999999</v>
      </c>
      <c r="R591">
        <v>0</v>
      </c>
      <c r="S591">
        <v>3</v>
      </c>
    </row>
    <row r="592" spans="14:19">
      <c r="N592">
        <v>591</v>
      </c>
      <c r="O592">
        <v>0</v>
      </c>
      <c r="P592">
        <v>8.7309999999999999</v>
      </c>
      <c r="Q592">
        <v>12.217000000000001</v>
      </c>
      <c r="R592">
        <v>0</v>
      </c>
      <c r="S592">
        <v>3</v>
      </c>
    </row>
    <row r="593" spans="14:19">
      <c r="N593">
        <v>592</v>
      </c>
      <c r="O593">
        <v>0</v>
      </c>
      <c r="P593">
        <v>8.9670000000000005</v>
      </c>
      <c r="Q593">
        <v>12.231</v>
      </c>
      <c r="R593">
        <v>0</v>
      </c>
      <c r="S593">
        <v>3</v>
      </c>
    </row>
    <row r="594" spans="14:19">
      <c r="N594">
        <v>593</v>
      </c>
      <c r="O594">
        <v>0</v>
      </c>
      <c r="P594">
        <v>9.3000000000000007</v>
      </c>
      <c r="Q594">
        <v>12.398</v>
      </c>
      <c r="R594">
        <v>0</v>
      </c>
      <c r="S594">
        <v>3</v>
      </c>
    </row>
    <row r="595" spans="14:19">
      <c r="N595">
        <v>594</v>
      </c>
      <c r="O595">
        <v>0</v>
      </c>
      <c r="P595">
        <v>9.5090000000000003</v>
      </c>
      <c r="Q595">
        <v>12.592000000000001</v>
      </c>
      <c r="R595">
        <v>0</v>
      </c>
      <c r="S595">
        <v>3</v>
      </c>
    </row>
    <row r="596" spans="14:19">
      <c r="N596">
        <v>595</v>
      </c>
      <c r="O596">
        <v>0</v>
      </c>
      <c r="P596">
        <v>9.6340000000000003</v>
      </c>
      <c r="Q596">
        <v>12.994999999999999</v>
      </c>
      <c r="R596">
        <v>0</v>
      </c>
      <c r="S596">
        <v>3</v>
      </c>
    </row>
    <row r="597" spans="14:19">
      <c r="N597">
        <v>596</v>
      </c>
      <c r="O597">
        <v>0</v>
      </c>
      <c r="P597">
        <v>9.6059999999999999</v>
      </c>
      <c r="Q597">
        <v>13.231</v>
      </c>
      <c r="R597">
        <v>0</v>
      </c>
      <c r="S597">
        <v>3</v>
      </c>
    </row>
    <row r="598" spans="14:19">
      <c r="N598">
        <v>597</v>
      </c>
      <c r="O598">
        <v>0</v>
      </c>
      <c r="P598">
        <v>9.5359999999999996</v>
      </c>
      <c r="Q598">
        <v>13.564</v>
      </c>
      <c r="R598">
        <v>0</v>
      </c>
      <c r="S598">
        <v>3</v>
      </c>
    </row>
    <row r="599" spans="14:19">
      <c r="N599">
        <v>598</v>
      </c>
      <c r="O599">
        <v>0</v>
      </c>
      <c r="P599">
        <v>9.2590000000000003</v>
      </c>
      <c r="Q599">
        <v>13.675000000000001</v>
      </c>
      <c r="R599">
        <v>0</v>
      </c>
      <c r="S599">
        <v>3</v>
      </c>
    </row>
    <row r="600" spans="14:19">
      <c r="N600">
        <v>599</v>
      </c>
      <c r="O600">
        <v>0</v>
      </c>
      <c r="P600">
        <v>9.0359999999999996</v>
      </c>
      <c r="Q600">
        <v>13.856</v>
      </c>
      <c r="R600">
        <v>0</v>
      </c>
      <c r="S600">
        <v>3</v>
      </c>
    </row>
    <row r="601" spans="14:19">
      <c r="N601">
        <v>600</v>
      </c>
      <c r="O601">
        <v>0</v>
      </c>
      <c r="P601">
        <v>8.8420000000000005</v>
      </c>
      <c r="Q601">
        <v>13.55</v>
      </c>
      <c r="R601">
        <v>0</v>
      </c>
      <c r="S601">
        <v>3</v>
      </c>
    </row>
    <row r="602" spans="14:19">
      <c r="N602">
        <v>601</v>
      </c>
      <c r="O602">
        <v>0</v>
      </c>
      <c r="P602">
        <v>8.4809999999999999</v>
      </c>
      <c r="Q602">
        <v>13.148</v>
      </c>
      <c r="R602">
        <v>0</v>
      </c>
      <c r="S602">
        <v>3</v>
      </c>
    </row>
    <row r="603" spans="14:19">
      <c r="N603">
        <v>602</v>
      </c>
      <c r="O603">
        <v>0</v>
      </c>
      <c r="P603">
        <v>8.5090000000000003</v>
      </c>
      <c r="Q603">
        <v>12.842000000000001</v>
      </c>
      <c r="R603">
        <v>0</v>
      </c>
      <c r="S603">
        <v>3</v>
      </c>
    </row>
    <row r="604" spans="14:19">
      <c r="N604">
        <v>603</v>
      </c>
      <c r="O604">
        <v>0</v>
      </c>
      <c r="P604">
        <v>8.8140000000000001</v>
      </c>
      <c r="Q604">
        <v>12.952999999999999</v>
      </c>
      <c r="R604">
        <v>0</v>
      </c>
      <c r="S604">
        <v>3</v>
      </c>
    </row>
    <row r="605" spans="14:19">
      <c r="N605">
        <v>604</v>
      </c>
      <c r="O605">
        <v>0</v>
      </c>
      <c r="P605">
        <v>8.9529999999999994</v>
      </c>
      <c r="Q605">
        <v>12.856</v>
      </c>
      <c r="R605">
        <v>0</v>
      </c>
      <c r="S605">
        <v>3</v>
      </c>
    </row>
    <row r="606" spans="14:19">
      <c r="N606">
        <v>605</v>
      </c>
      <c r="O606">
        <v>0</v>
      </c>
      <c r="P606">
        <v>8.3559999999999999</v>
      </c>
      <c r="Q606">
        <v>14.231</v>
      </c>
      <c r="R606">
        <v>0</v>
      </c>
      <c r="S606">
        <v>3</v>
      </c>
    </row>
    <row r="607" spans="14:19">
      <c r="N607">
        <v>606</v>
      </c>
      <c r="O607">
        <v>0</v>
      </c>
      <c r="P607">
        <v>8.4109999999999996</v>
      </c>
      <c r="Q607">
        <v>14.606</v>
      </c>
      <c r="R607">
        <v>0</v>
      </c>
      <c r="S607">
        <v>3</v>
      </c>
    </row>
    <row r="608" spans="14:19">
      <c r="N608">
        <v>607</v>
      </c>
      <c r="O608">
        <v>0</v>
      </c>
      <c r="P608">
        <v>9.4250000000000007</v>
      </c>
      <c r="Q608">
        <v>14.411</v>
      </c>
      <c r="R608">
        <v>0</v>
      </c>
      <c r="S608">
        <v>3</v>
      </c>
    </row>
    <row r="609" spans="14:19">
      <c r="N609">
        <v>608</v>
      </c>
      <c r="O609">
        <v>0</v>
      </c>
      <c r="P609">
        <v>10.217000000000001</v>
      </c>
      <c r="Q609">
        <v>14.231</v>
      </c>
      <c r="R609">
        <v>0</v>
      </c>
      <c r="S609">
        <v>3</v>
      </c>
    </row>
    <row r="610" spans="14:19">
      <c r="N610">
        <v>609</v>
      </c>
      <c r="O610">
        <v>0</v>
      </c>
      <c r="P610">
        <v>10.952999999999999</v>
      </c>
      <c r="Q610">
        <v>14.259</v>
      </c>
      <c r="R610">
        <v>0</v>
      </c>
      <c r="S610">
        <v>3</v>
      </c>
    </row>
    <row r="611" spans="14:19">
      <c r="N611">
        <v>610</v>
      </c>
      <c r="O611">
        <v>0</v>
      </c>
      <c r="P611">
        <v>10.661</v>
      </c>
      <c r="Q611">
        <v>14.384</v>
      </c>
      <c r="R611">
        <v>0</v>
      </c>
      <c r="S611">
        <v>3</v>
      </c>
    </row>
    <row r="612" spans="14:19">
      <c r="N612">
        <v>611</v>
      </c>
      <c r="O612">
        <v>0</v>
      </c>
      <c r="P612">
        <v>11.55</v>
      </c>
      <c r="Q612">
        <v>14.12</v>
      </c>
      <c r="R612">
        <v>0</v>
      </c>
      <c r="S612">
        <v>3</v>
      </c>
    </row>
    <row r="613" spans="14:19">
      <c r="N613">
        <v>612</v>
      </c>
      <c r="O613">
        <v>0</v>
      </c>
      <c r="P613">
        <v>11.994999999999999</v>
      </c>
      <c r="Q613">
        <v>14.12</v>
      </c>
      <c r="R613">
        <v>0</v>
      </c>
      <c r="S613">
        <v>3</v>
      </c>
    </row>
    <row r="614" spans="14:19">
      <c r="N614">
        <v>613</v>
      </c>
      <c r="O614">
        <v>0</v>
      </c>
      <c r="P614">
        <v>12.452999999999999</v>
      </c>
      <c r="Q614">
        <v>14.12</v>
      </c>
      <c r="R614">
        <v>0</v>
      </c>
      <c r="S614">
        <v>3</v>
      </c>
    </row>
    <row r="615" spans="14:19">
      <c r="N615">
        <v>614</v>
      </c>
      <c r="O615">
        <v>0</v>
      </c>
      <c r="P615">
        <v>12.87</v>
      </c>
      <c r="Q615">
        <v>13.661</v>
      </c>
      <c r="R615">
        <v>0</v>
      </c>
      <c r="S615">
        <v>3</v>
      </c>
    </row>
    <row r="616" spans="14:19">
      <c r="N616">
        <v>615</v>
      </c>
      <c r="O616">
        <v>0</v>
      </c>
      <c r="P616">
        <v>12.744999999999999</v>
      </c>
      <c r="Q616">
        <v>13.398</v>
      </c>
      <c r="R616">
        <v>0</v>
      </c>
      <c r="S616">
        <v>3</v>
      </c>
    </row>
    <row r="617" spans="14:19">
      <c r="N617">
        <v>616</v>
      </c>
      <c r="O617">
        <v>0</v>
      </c>
      <c r="P617">
        <v>12.314</v>
      </c>
      <c r="Q617">
        <v>13.327999999999999</v>
      </c>
      <c r="R617">
        <v>0</v>
      </c>
      <c r="S617">
        <v>3</v>
      </c>
    </row>
    <row r="618" spans="14:19">
      <c r="N618">
        <v>617</v>
      </c>
      <c r="O618">
        <v>0</v>
      </c>
      <c r="P618">
        <v>12.175000000000001</v>
      </c>
      <c r="Q618">
        <v>13.606</v>
      </c>
      <c r="R618">
        <v>0</v>
      </c>
      <c r="S618">
        <v>3</v>
      </c>
    </row>
    <row r="619" spans="14:19">
      <c r="N619">
        <v>618</v>
      </c>
      <c r="O619">
        <v>0</v>
      </c>
      <c r="P619">
        <v>12.009</v>
      </c>
      <c r="Q619">
        <v>13.481</v>
      </c>
      <c r="R619">
        <v>0</v>
      </c>
      <c r="S619">
        <v>3</v>
      </c>
    </row>
    <row r="620" spans="14:19">
      <c r="N620">
        <v>619</v>
      </c>
      <c r="O620">
        <v>0</v>
      </c>
      <c r="P620">
        <v>11.8</v>
      </c>
      <c r="Q620">
        <v>13.536</v>
      </c>
      <c r="R620">
        <v>0</v>
      </c>
      <c r="S620">
        <v>3</v>
      </c>
    </row>
    <row r="621" spans="14:19">
      <c r="N621">
        <v>620</v>
      </c>
      <c r="O621">
        <v>0</v>
      </c>
      <c r="P621">
        <v>11.523</v>
      </c>
      <c r="Q621">
        <v>13.702999999999999</v>
      </c>
      <c r="R621">
        <v>0</v>
      </c>
      <c r="S621">
        <v>3</v>
      </c>
    </row>
    <row r="622" spans="14:19">
      <c r="N622">
        <v>621</v>
      </c>
      <c r="O622">
        <v>0</v>
      </c>
      <c r="P622">
        <v>11.592000000000001</v>
      </c>
      <c r="Q622">
        <v>13.077999999999999</v>
      </c>
      <c r="R622">
        <v>0</v>
      </c>
      <c r="S622">
        <v>3</v>
      </c>
    </row>
    <row r="623" spans="14:19">
      <c r="N623">
        <v>622</v>
      </c>
      <c r="O623">
        <v>0</v>
      </c>
      <c r="P623">
        <v>11.592000000000001</v>
      </c>
      <c r="Q623">
        <v>12.62</v>
      </c>
      <c r="R623">
        <v>0</v>
      </c>
      <c r="S623">
        <v>3</v>
      </c>
    </row>
    <row r="624" spans="14:19">
      <c r="N624">
        <v>623</v>
      </c>
      <c r="O624">
        <v>0</v>
      </c>
      <c r="P624">
        <v>12.092000000000001</v>
      </c>
      <c r="Q624">
        <v>12.523</v>
      </c>
      <c r="R624">
        <v>0</v>
      </c>
      <c r="S624">
        <v>3</v>
      </c>
    </row>
    <row r="625" spans="14:19">
      <c r="N625">
        <v>624</v>
      </c>
      <c r="O625">
        <v>0</v>
      </c>
      <c r="P625">
        <v>12.009</v>
      </c>
      <c r="Q625">
        <v>12.064</v>
      </c>
      <c r="R625">
        <v>0</v>
      </c>
      <c r="S625">
        <v>3</v>
      </c>
    </row>
    <row r="626" spans="14:19">
      <c r="N626">
        <v>625</v>
      </c>
      <c r="O626">
        <v>0</v>
      </c>
      <c r="P626">
        <v>11.452999999999999</v>
      </c>
      <c r="Q626">
        <v>11.952999999999999</v>
      </c>
      <c r="R626">
        <v>0</v>
      </c>
      <c r="S626">
        <v>3</v>
      </c>
    </row>
    <row r="627" spans="14:19">
      <c r="N627">
        <v>626</v>
      </c>
      <c r="O627">
        <v>0</v>
      </c>
      <c r="P627">
        <v>11.356</v>
      </c>
      <c r="Q627">
        <v>11.411</v>
      </c>
      <c r="R627">
        <v>0</v>
      </c>
      <c r="S627">
        <v>3</v>
      </c>
    </row>
    <row r="628" spans="14:19">
      <c r="N628">
        <v>627</v>
      </c>
      <c r="O628">
        <v>0</v>
      </c>
      <c r="P628">
        <v>12.077999999999999</v>
      </c>
      <c r="Q628">
        <v>11.37</v>
      </c>
      <c r="R628">
        <v>0</v>
      </c>
      <c r="S628">
        <v>3</v>
      </c>
    </row>
    <row r="629" spans="14:19">
      <c r="N629">
        <v>628</v>
      </c>
      <c r="O629">
        <v>0</v>
      </c>
      <c r="P629">
        <v>12.592000000000001</v>
      </c>
      <c r="Q629">
        <v>12.12</v>
      </c>
      <c r="R629">
        <v>0</v>
      </c>
      <c r="S629">
        <v>3</v>
      </c>
    </row>
    <row r="630" spans="14:19">
      <c r="N630">
        <v>629</v>
      </c>
      <c r="O630">
        <v>0</v>
      </c>
      <c r="P630">
        <v>12.842000000000001</v>
      </c>
      <c r="Q630">
        <v>12.064</v>
      </c>
      <c r="R630">
        <v>0</v>
      </c>
      <c r="S630">
        <v>3</v>
      </c>
    </row>
    <row r="631" spans="14:19">
      <c r="N631">
        <v>630</v>
      </c>
      <c r="O631">
        <v>0</v>
      </c>
      <c r="P631">
        <v>13.467000000000001</v>
      </c>
      <c r="Q631">
        <v>12.327999999999999</v>
      </c>
      <c r="R631">
        <v>0</v>
      </c>
      <c r="S631">
        <v>3</v>
      </c>
    </row>
    <row r="632" spans="14:19">
      <c r="N632">
        <v>631</v>
      </c>
      <c r="O632">
        <v>0</v>
      </c>
      <c r="P632">
        <v>12.884</v>
      </c>
      <c r="Q632">
        <v>11.994999999999999</v>
      </c>
      <c r="R632">
        <v>0</v>
      </c>
      <c r="S632">
        <v>3</v>
      </c>
    </row>
    <row r="633" spans="14:19">
      <c r="N633">
        <v>632</v>
      </c>
      <c r="O633">
        <v>0</v>
      </c>
      <c r="P633">
        <v>13.148</v>
      </c>
      <c r="Q633">
        <v>11.536</v>
      </c>
      <c r="R633">
        <v>0</v>
      </c>
      <c r="S633">
        <v>3</v>
      </c>
    </row>
    <row r="634" spans="14:19">
      <c r="N634">
        <v>633</v>
      </c>
      <c r="O634">
        <v>0</v>
      </c>
      <c r="P634">
        <v>12.62</v>
      </c>
      <c r="Q634">
        <v>11.439</v>
      </c>
      <c r="R634">
        <v>0</v>
      </c>
      <c r="S634">
        <v>3</v>
      </c>
    </row>
    <row r="635" spans="14:19">
      <c r="N635">
        <v>634</v>
      </c>
      <c r="O635">
        <v>0</v>
      </c>
      <c r="P635">
        <v>13.356</v>
      </c>
      <c r="Q635">
        <v>11.717000000000001</v>
      </c>
      <c r="R635">
        <v>0</v>
      </c>
      <c r="S635">
        <v>3</v>
      </c>
    </row>
    <row r="636" spans="14:19">
      <c r="N636">
        <v>635</v>
      </c>
      <c r="O636">
        <v>0</v>
      </c>
      <c r="P636">
        <v>13.661</v>
      </c>
      <c r="Q636">
        <v>11.398</v>
      </c>
      <c r="R636">
        <v>0</v>
      </c>
      <c r="S636">
        <v>3</v>
      </c>
    </row>
    <row r="637" spans="14:19">
      <c r="N637">
        <v>636</v>
      </c>
      <c r="O637">
        <v>0</v>
      </c>
      <c r="P637">
        <v>13.134</v>
      </c>
      <c r="Q637">
        <v>11.134</v>
      </c>
      <c r="R637">
        <v>0</v>
      </c>
      <c r="S637">
        <v>3</v>
      </c>
    </row>
    <row r="638" spans="14:19">
      <c r="N638">
        <v>637</v>
      </c>
      <c r="O638">
        <v>0</v>
      </c>
      <c r="P638">
        <v>12.759</v>
      </c>
      <c r="Q638">
        <v>10.717000000000001</v>
      </c>
      <c r="R638">
        <v>0</v>
      </c>
      <c r="S638">
        <v>3</v>
      </c>
    </row>
    <row r="639" spans="14:19">
      <c r="N639">
        <v>638</v>
      </c>
      <c r="O639">
        <v>0</v>
      </c>
      <c r="P639">
        <v>12.356</v>
      </c>
      <c r="Q639">
        <v>10.689</v>
      </c>
      <c r="R639">
        <v>0</v>
      </c>
      <c r="S639">
        <v>3</v>
      </c>
    </row>
    <row r="640" spans="14:19">
      <c r="N640">
        <v>639</v>
      </c>
      <c r="O640">
        <v>0</v>
      </c>
      <c r="P640">
        <v>12.161</v>
      </c>
      <c r="Q640">
        <v>10.759</v>
      </c>
      <c r="R640">
        <v>0</v>
      </c>
      <c r="S640">
        <v>3</v>
      </c>
    </row>
    <row r="641" spans="14:19">
      <c r="N641">
        <v>640</v>
      </c>
      <c r="O641">
        <v>0</v>
      </c>
      <c r="P641">
        <v>12.648</v>
      </c>
      <c r="Q641">
        <v>10.286</v>
      </c>
      <c r="R641">
        <v>0</v>
      </c>
      <c r="S641">
        <v>3</v>
      </c>
    </row>
    <row r="642" spans="14:19">
      <c r="N642">
        <v>641</v>
      </c>
      <c r="O642">
        <v>0</v>
      </c>
      <c r="P642">
        <v>13.023</v>
      </c>
      <c r="Q642">
        <v>10.481</v>
      </c>
      <c r="R642">
        <v>0</v>
      </c>
      <c r="S642">
        <v>3</v>
      </c>
    </row>
    <row r="643" spans="14:19">
      <c r="N643">
        <v>642</v>
      </c>
      <c r="O643">
        <v>0</v>
      </c>
      <c r="P643">
        <v>13.092000000000001</v>
      </c>
      <c r="Q643">
        <v>10.106</v>
      </c>
      <c r="R643">
        <v>0</v>
      </c>
      <c r="S643">
        <v>3</v>
      </c>
    </row>
    <row r="644" spans="14:19">
      <c r="N644">
        <v>643</v>
      </c>
      <c r="O644">
        <v>0</v>
      </c>
      <c r="P644">
        <v>12.827999999999999</v>
      </c>
      <c r="Q644">
        <v>9.8279999999999994</v>
      </c>
      <c r="R644">
        <v>0</v>
      </c>
      <c r="S644">
        <v>3</v>
      </c>
    </row>
    <row r="645" spans="14:19">
      <c r="N645">
        <v>644</v>
      </c>
      <c r="O645">
        <v>0</v>
      </c>
      <c r="P645">
        <v>13.37</v>
      </c>
      <c r="Q645">
        <v>9.7309999999999999</v>
      </c>
      <c r="R645">
        <v>0</v>
      </c>
      <c r="S645">
        <v>3</v>
      </c>
    </row>
    <row r="646" spans="14:19">
      <c r="N646">
        <v>645</v>
      </c>
      <c r="O646">
        <v>0</v>
      </c>
      <c r="P646">
        <v>13.661</v>
      </c>
      <c r="Q646">
        <v>9.9670000000000005</v>
      </c>
      <c r="R646">
        <v>0</v>
      </c>
      <c r="S646">
        <v>3</v>
      </c>
    </row>
    <row r="647" spans="14:19">
      <c r="N647">
        <v>646</v>
      </c>
      <c r="O647">
        <v>0</v>
      </c>
      <c r="P647">
        <v>13.786</v>
      </c>
      <c r="Q647">
        <v>10.286</v>
      </c>
      <c r="R647">
        <v>0</v>
      </c>
      <c r="S647">
        <v>3</v>
      </c>
    </row>
    <row r="648" spans="14:19">
      <c r="N648">
        <v>647</v>
      </c>
      <c r="O648">
        <v>0</v>
      </c>
      <c r="P648">
        <v>13.702999999999999</v>
      </c>
      <c r="Q648">
        <v>10.759</v>
      </c>
      <c r="R648">
        <v>0</v>
      </c>
      <c r="S648">
        <v>3</v>
      </c>
    </row>
    <row r="649" spans="14:19">
      <c r="N649">
        <v>648</v>
      </c>
      <c r="O649">
        <v>0</v>
      </c>
      <c r="P649">
        <v>14.231</v>
      </c>
      <c r="Q649">
        <v>10.967000000000001</v>
      </c>
      <c r="R649">
        <v>0</v>
      </c>
      <c r="S649">
        <v>3</v>
      </c>
    </row>
    <row r="650" spans="14:19">
      <c r="N650">
        <v>649</v>
      </c>
      <c r="O650">
        <v>0</v>
      </c>
      <c r="P650">
        <v>13.467000000000001</v>
      </c>
      <c r="Q650">
        <v>9.3840000000000003</v>
      </c>
      <c r="R650">
        <v>0</v>
      </c>
      <c r="S650">
        <v>3</v>
      </c>
    </row>
    <row r="651" spans="14:19">
      <c r="N651">
        <v>650</v>
      </c>
      <c r="O651">
        <v>0</v>
      </c>
      <c r="P651">
        <v>13.217000000000001</v>
      </c>
      <c r="Q651">
        <v>9.3840000000000003</v>
      </c>
      <c r="R651">
        <v>0</v>
      </c>
      <c r="S651">
        <v>3</v>
      </c>
    </row>
    <row r="652" spans="14:19">
      <c r="N652">
        <v>651</v>
      </c>
      <c r="O652">
        <v>0</v>
      </c>
      <c r="P652">
        <v>13.592000000000001</v>
      </c>
      <c r="Q652">
        <v>8.6890000000000001</v>
      </c>
      <c r="R652">
        <v>0</v>
      </c>
      <c r="S652">
        <v>3</v>
      </c>
    </row>
    <row r="653" spans="14:19">
      <c r="N653">
        <v>652</v>
      </c>
      <c r="O653">
        <v>0</v>
      </c>
      <c r="P653">
        <v>13.731</v>
      </c>
      <c r="Q653">
        <v>8.2449999999999992</v>
      </c>
      <c r="R653">
        <v>0</v>
      </c>
      <c r="S653">
        <v>3</v>
      </c>
    </row>
    <row r="654" spans="14:19">
      <c r="N654">
        <v>653</v>
      </c>
      <c r="O654">
        <v>0</v>
      </c>
      <c r="P654">
        <v>13.731</v>
      </c>
      <c r="Q654">
        <v>7.9249999999999998</v>
      </c>
      <c r="R654">
        <v>0</v>
      </c>
      <c r="S654">
        <v>3</v>
      </c>
    </row>
    <row r="655" spans="14:19">
      <c r="N655">
        <v>654</v>
      </c>
      <c r="O655">
        <v>0</v>
      </c>
      <c r="P655">
        <v>13.884</v>
      </c>
      <c r="Q655">
        <v>7.7450000000000001</v>
      </c>
      <c r="R655">
        <v>0</v>
      </c>
      <c r="S655">
        <v>3</v>
      </c>
    </row>
    <row r="656" spans="14:19">
      <c r="N656">
        <v>655</v>
      </c>
      <c r="O656">
        <v>0</v>
      </c>
      <c r="P656">
        <v>14.467000000000001</v>
      </c>
      <c r="Q656">
        <v>7.8840000000000003</v>
      </c>
      <c r="R656">
        <v>0</v>
      </c>
      <c r="S656">
        <v>3</v>
      </c>
    </row>
    <row r="657" spans="14:19">
      <c r="N657">
        <v>656</v>
      </c>
      <c r="O657">
        <v>0</v>
      </c>
      <c r="P657">
        <v>14.564</v>
      </c>
      <c r="Q657">
        <v>8.8140000000000001</v>
      </c>
      <c r="R657">
        <v>0</v>
      </c>
      <c r="S657">
        <v>3</v>
      </c>
    </row>
    <row r="658" spans="14:19">
      <c r="N658">
        <v>657</v>
      </c>
      <c r="O658">
        <v>0</v>
      </c>
      <c r="P658">
        <v>14.606</v>
      </c>
      <c r="Q658">
        <v>9.0779999999999994</v>
      </c>
      <c r="R658">
        <v>0</v>
      </c>
      <c r="S658">
        <v>3</v>
      </c>
    </row>
    <row r="659" spans="14:19">
      <c r="N659">
        <v>658</v>
      </c>
      <c r="O659">
        <v>0</v>
      </c>
      <c r="P659">
        <v>14.314</v>
      </c>
      <c r="Q659">
        <v>9.6199999999999992</v>
      </c>
      <c r="R659">
        <v>0</v>
      </c>
      <c r="S659">
        <v>3</v>
      </c>
    </row>
    <row r="660" spans="14:19">
      <c r="N660">
        <v>659</v>
      </c>
      <c r="O660">
        <v>0</v>
      </c>
      <c r="P660">
        <v>15.689</v>
      </c>
      <c r="Q660">
        <v>8.8140000000000001</v>
      </c>
      <c r="R660">
        <v>0</v>
      </c>
      <c r="S660">
        <v>3</v>
      </c>
    </row>
    <row r="661" spans="14:19">
      <c r="N661">
        <v>660</v>
      </c>
      <c r="O661">
        <v>0</v>
      </c>
      <c r="P661">
        <v>16.036000000000001</v>
      </c>
      <c r="Q661">
        <v>8.4809999999999999</v>
      </c>
      <c r="R661">
        <v>0</v>
      </c>
      <c r="S661">
        <v>3</v>
      </c>
    </row>
    <row r="662" spans="14:19">
      <c r="N662">
        <v>661</v>
      </c>
      <c r="O662">
        <v>0</v>
      </c>
      <c r="P662">
        <v>15.509</v>
      </c>
      <c r="Q662">
        <v>8.1340000000000003</v>
      </c>
      <c r="R662">
        <v>0</v>
      </c>
      <c r="S662">
        <v>3</v>
      </c>
    </row>
    <row r="663" spans="14:19">
      <c r="N663">
        <v>662</v>
      </c>
      <c r="O663">
        <v>0</v>
      </c>
      <c r="P663">
        <v>15.161</v>
      </c>
      <c r="Q663">
        <v>7.87</v>
      </c>
      <c r="R663">
        <v>0</v>
      </c>
      <c r="S663">
        <v>3</v>
      </c>
    </row>
    <row r="664" spans="14:19">
      <c r="N664">
        <v>663</v>
      </c>
      <c r="O664">
        <v>0</v>
      </c>
      <c r="P664">
        <v>14.856</v>
      </c>
      <c r="Q664">
        <v>7.55</v>
      </c>
      <c r="R664">
        <v>0</v>
      </c>
      <c r="S664">
        <v>3</v>
      </c>
    </row>
    <row r="665" spans="14:19">
      <c r="N665">
        <v>664</v>
      </c>
      <c r="O665">
        <v>0</v>
      </c>
      <c r="P665">
        <v>14.842000000000001</v>
      </c>
      <c r="Q665">
        <v>7.2590000000000003</v>
      </c>
      <c r="R665">
        <v>0</v>
      </c>
      <c r="S665">
        <v>3</v>
      </c>
    </row>
    <row r="666" spans="14:19">
      <c r="N666">
        <v>665</v>
      </c>
      <c r="O666">
        <v>0</v>
      </c>
      <c r="P666">
        <v>14.87</v>
      </c>
      <c r="Q666">
        <v>6.9809999999999999</v>
      </c>
      <c r="R666">
        <v>0</v>
      </c>
      <c r="S666">
        <v>3</v>
      </c>
    </row>
    <row r="667" spans="14:19">
      <c r="N667">
        <v>666</v>
      </c>
      <c r="O667">
        <v>0</v>
      </c>
      <c r="P667">
        <v>15.161</v>
      </c>
      <c r="Q667">
        <v>6.4390000000000001</v>
      </c>
      <c r="R667">
        <v>0</v>
      </c>
      <c r="S667">
        <v>3</v>
      </c>
    </row>
    <row r="668" spans="14:19">
      <c r="N668">
        <v>667</v>
      </c>
      <c r="O668">
        <v>0</v>
      </c>
      <c r="P668">
        <v>14.327999999999999</v>
      </c>
      <c r="Q668">
        <v>6.8419999999999996</v>
      </c>
      <c r="R668">
        <v>0</v>
      </c>
      <c r="S668">
        <v>3</v>
      </c>
    </row>
    <row r="669" spans="14:19">
      <c r="N669">
        <v>668</v>
      </c>
      <c r="O669">
        <v>0</v>
      </c>
      <c r="P669">
        <v>14.509</v>
      </c>
      <c r="Q669">
        <v>6.4530000000000003</v>
      </c>
      <c r="R669">
        <v>0</v>
      </c>
      <c r="S669">
        <v>3</v>
      </c>
    </row>
    <row r="670" spans="14:19">
      <c r="N670">
        <v>669</v>
      </c>
      <c r="O670">
        <v>0</v>
      </c>
      <c r="P670">
        <v>14.523</v>
      </c>
      <c r="Q670">
        <v>6.1479999999999997</v>
      </c>
      <c r="R670">
        <v>0</v>
      </c>
      <c r="S670">
        <v>3</v>
      </c>
    </row>
    <row r="671" spans="14:19">
      <c r="N671">
        <v>670</v>
      </c>
      <c r="O671">
        <v>0</v>
      </c>
      <c r="P671">
        <v>14.786</v>
      </c>
      <c r="Q671">
        <v>5.6479999999999997</v>
      </c>
      <c r="R671">
        <v>0</v>
      </c>
      <c r="S671">
        <v>3</v>
      </c>
    </row>
    <row r="672" spans="14:19">
      <c r="N672">
        <v>671</v>
      </c>
      <c r="O672">
        <v>0</v>
      </c>
      <c r="P672">
        <v>15.244999999999999</v>
      </c>
      <c r="Q672">
        <v>5.7729999999999997</v>
      </c>
      <c r="R672">
        <v>0</v>
      </c>
      <c r="S672">
        <v>3</v>
      </c>
    </row>
    <row r="673" spans="14:19">
      <c r="N673">
        <v>672</v>
      </c>
      <c r="O673">
        <v>0</v>
      </c>
      <c r="P673">
        <v>17.202999999999999</v>
      </c>
      <c r="Q673">
        <v>6.1059999999999999</v>
      </c>
      <c r="R673">
        <v>0</v>
      </c>
      <c r="S673">
        <v>3</v>
      </c>
    </row>
    <row r="674" spans="14:19">
      <c r="N674">
        <v>673</v>
      </c>
      <c r="O674">
        <v>0</v>
      </c>
      <c r="P674">
        <v>17.216999999999999</v>
      </c>
      <c r="Q674">
        <v>5.4809999999999999</v>
      </c>
      <c r="R674">
        <v>0</v>
      </c>
      <c r="S674">
        <v>3</v>
      </c>
    </row>
    <row r="675" spans="14:19">
      <c r="N675">
        <v>674</v>
      </c>
      <c r="O675">
        <v>0</v>
      </c>
      <c r="P675">
        <v>16.884</v>
      </c>
      <c r="Q675">
        <v>5.3140000000000001</v>
      </c>
      <c r="R675">
        <v>0</v>
      </c>
      <c r="S675">
        <v>3</v>
      </c>
    </row>
    <row r="676" spans="14:19">
      <c r="N676">
        <v>675</v>
      </c>
      <c r="O676">
        <v>0</v>
      </c>
      <c r="P676">
        <v>16.675000000000001</v>
      </c>
      <c r="Q676">
        <v>5.1059999999999999</v>
      </c>
      <c r="R676">
        <v>0</v>
      </c>
      <c r="S676">
        <v>3</v>
      </c>
    </row>
    <row r="677" spans="14:19">
      <c r="N677">
        <v>676</v>
      </c>
      <c r="O677">
        <v>0</v>
      </c>
      <c r="P677">
        <v>16.591999999999999</v>
      </c>
      <c r="Q677">
        <v>4.8</v>
      </c>
      <c r="R677">
        <v>0</v>
      </c>
      <c r="S677">
        <v>3</v>
      </c>
    </row>
    <row r="678" spans="14:19">
      <c r="N678">
        <v>677</v>
      </c>
      <c r="O678">
        <v>0</v>
      </c>
      <c r="P678">
        <v>17.064</v>
      </c>
      <c r="Q678">
        <v>4.7859999999999996</v>
      </c>
      <c r="R678">
        <v>0</v>
      </c>
      <c r="S678">
        <v>3</v>
      </c>
    </row>
    <row r="679" spans="14:19">
      <c r="N679">
        <v>678</v>
      </c>
      <c r="O679">
        <v>0</v>
      </c>
      <c r="P679">
        <v>17.273</v>
      </c>
      <c r="Q679">
        <v>4.3280000000000003</v>
      </c>
      <c r="R679">
        <v>0</v>
      </c>
      <c r="S679">
        <v>3</v>
      </c>
    </row>
    <row r="680" spans="14:19">
      <c r="N680">
        <v>679</v>
      </c>
      <c r="O680">
        <v>0</v>
      </c>
      <c r="P680">
        <v>16.675000000000001</v>
      </c>
      <c r="Q680">
        <v>4.3979999999999997</v>
      </c>
      <c r="R680">
        <v>0</v>
      </c>
      <c r="S680">
        <v>3</v>
      </c>
    </row>
    <row r="681" spans="14:19">
      <c r="N681">
        <v>680</v>
      </c>
      <c r="O681">
        <v>0</v>
      </c>
      <c r="P681">
        <v>16.189</v>
      </c>
      <c r="Q681">
        <v>4.5359999999999996</v>
      </c>
      <c r="R681">
        <v>0</v>
      </c>
      <c r="S681">
        <v>3</v>
      </c>
    </row>
    <row r="682" spans="14:19">
      <c r="N682">
        <v>681</v>
      </c>
      <c r="O682">
        <v>0</v>
      </c>
      <c r="P682">
        <v>15.856</v>
      </c>
      <c r="Q682">
        <v>4.7590000000000003</v>
      </c>
      <c r="R682">
        <v>0</v>
      </c>
      <c r="S682">
        <v>3</v>
      </c>
    </row>
    <row r="683" spans="14:19">
      <c r="N683">
        <v>682</v>
      </c>
      <c r="O683">
        <v>0</v>
      </c>
      <c r="P683">
        <v>15.536</v>
      </c>
      <c r="Q683">
        <v>4.7450000000000001</v>
      </c>
      <c r="R683">
        <v>0</v>
      </c>
      <c r="S683">
        <v>3</v>
      </c>
    </row>
    <row r="684" spans="14:19">
      <c r="N684">
        <v>683</v>
      </c>
      <c r="O684">
        <v>0</v>
      </c>
      <c r="P684">
        <v>15.314</v>
      </c>
      <c r="Q684">
        <v>4.6340000000000003</v>
      </c>
      <c r="R684">
        <v>0</v>
      </c>
      <c r="S684">
        <v>3</v>
      </c>
    </row>
    <row r="685" spans="14:19">
      <c r="N685">
        <v>684</v>
      </c>
      <c r="O685">
        <v>0</v>
      </c>
      <c r="P685">
        <v>14.814</v>
      </c>
      <c r="Q685">
        <v>4.7030000000000003</v>
      </c>
      <c r="R685">
        <v>0</v>
      </c>
      <c r="S685">
        <v>3</v>
      </c>
    </row>
    <row r="686" spans="14:19">
      <c r="N686">
        <v>685</v>
      </c>
      <c r="O686">
        <v>0</v>
      </c>
      <c r="P686">
        <v>14.327999999999999</v>
      </c>
      <c r="Q686">
        <v>4.6609999999999996</v>
      </c>
      <c r="R686">
        <v>0</v>
      </c>
      <c r="S686">
        <v>3</v>
      </c>
    </row>
    <row r="687" spans="14:19">
      <c r="N687">
        <v>686</v>
      </c>
      <c r="O687">
        <v>0</v>
      </c>
      <c r="P687">
        <v>14.023</v>
      </c>
      <c r="Q687">
        <v>4.37</v>
      </c>
      <c r="R687">
        <v>0</v>
      </c>
      <c r="S687">
        <v>3</v>
      </c>
    </row>
    <row r="688" spans="14:19">
      <c r="N688">
        <v>687</v>
      </c>
      <c r="O688">
        <v>0</v>
      </c>
      <c r="P688">
        <v>13.536</v>
      </c>
      <c r="Q688">
        <v>4.2729999999999997</v>
      </c>
      <c r="R688">
        <v>0</v>
      </c>
      <c r="S688">
        <v>3</v>
      </c>
    </row>
    <row r="689" spans="14:19">
      <c r="N689">
        <v>688</v>
      </c>
      <c r="O689">
        <v>0</v>
      </c>
      <c r="P689">
        <v>13.286</v>
      </c>
      <c r="Q689">
        <v>4.2309999999999999</v>
      </c>
      <c r="R689">
        <v>0</v>
      </c>
      <c r="S689">
        <v>3</v>
      </c>
    </row>
    <row r="690" spans="14:19">
      <c r="N690">
        <v>689</v>
      </c>
      <c r="O690">
        <v>0</v>
      </c>
      <c r="P690">
        <v>14.702999999999999</v>
      </c>
      <c r="Q690">
        <v>3.4670000000000001</v>
      </c>
      <c r="R690">
        <v>0</v>
      </c>
      <c r="S690">
        <v>3</v>
      </c>
    </row>
    <row r="691" spans="14:19">
      <c r="N691">
        <v>690</v>
      </c>
      <c r="O691">
        <v>0</v>
      </c>
      <c r="P691">
        <v>14.856</v>
      </c>
      <c r="Q691">
        <v>3.3140000000000001</v>
      </c>
      <c r="R691">
        <v>0</v>
      </c>
      <c r="S691">
        <v>3</v>
      </c>
    </row>
    <row r="692" spans="14:19">
      <c r="N692">
        <v>691</v>
      </c>
      <c r="O692">
        <v>0</v>
      </c>
      <c r="P692">
        <v>15.314</v>
      </c>
      <c r="Q692">
        <v>3.036</v>
      </c>
      <c r="R692">
        <v>0</v>
      </c>
      <c r="S692">
        <v>3</v>
      </c>
    </row>
    <row r="693" spans="14:19">
      <c r="N693">
        <v>692</v>
      </c>
      <c r="O693">
        <v>0</v>
      </c>
      <c r="P693">
        <v>15.509</v>
      </c>
      <c r="Q693">
        <v>2.8559999999999999</v>
      </c>
      <c r="R693">
        <v>0</v>
      </c>
      <c r="S693">
        <v>3</v>
      </c>
    </row>
    <row r="694" spans="14:19">
      <c r="N694">
        <v>693</v>
      </c>
      <c r="O694">
        <v>0</v>
      </c>
      <c r="P694">
        <v>15.814</v>
      </c>
      <c r="Q694">
        <v>2.9809999999999999</v>
      </c>
      <c r="R694">
        <v>0</v>
      </c>
      <c r="S694">
        <v>3</v>
      </c>
    </row>
    <row r="695" spans="14:19">
      <c r="N695">
        <v>694</v>
      </c>
      <c r="O695">
        <v>0</v>
      </c>
      <c r="P695">
        <v>15.244999999999999</v>
      </c>
      <c r="Q695">
        <v>3.6890000000000001</v>
      </c>
      <c r="R695">
        <v>0</v>
      </c>
      <c r="S695">
        <v>3</v>
      </c>
    </row>
    <row r="696" spans="14:19">
      <c r="N696">
        <v>695</v>
      </c>
      <c r="O696">
        <v>0</v>
      </c>
      <c r="P696">
        <v>15.634</v>
      </c>
      <c r="Q696">
        <v>3.8559999999999999</v>
      </c>
      <c r="R696">
        <v>0</v>
      </c>
      <c r="S696">
        <v>3</v>
      </c>
    </row>
    <row r="697" spans="14:19">
      <c r="N697">
        <v>696</v>
      </c>
      <c r="O697">
        <v>0</v>
      </c>
      <c r="P697">
        <v>15.036</v>
      </c>
      <c r="Q697">
        <v>3.9809999999999999</v>
      </c>
      <c r="R697">
        <v>0</v>
      </c>
      <c r="S697">
        <v>3</v>
      </c>
    </row>
    <row r="698" spans="14:19">
      <c r="N698">
        <v>697</v>
      </c>
      <c r="O698">
        <v>0</v>
      </c>
      <c r="P698">
        <v>16.3</v>
      </c>
      <c r="Q698">
        <v>3.7730000000000001</v>
      </c>
      <c r="R698">
        <v>0</v>
      </c>
      <c r="S698">
        <v>3</v>
      </c>
    </row>
    <row r="699" spans="14:19">
      <c r="N699">
        <v>698</v>
      </c>
      <c r="O699">
        <v>0</v>
      </c>
      <c r="P699">
        <v>16.341999999999999</v>
      </c>
      <c r="Q699">
        <v>3.0640000000000001</v>
      </c>
      <c r="R699">
        <v>0</v>
      </c>
      <c r="S699">
        <v>3</v>
      </c>
    </row>
    <row r="700" spans="14:19">
      <c r="N700">
        <v>699</v>
      </c>
      <c r="O700">
        <v>0</v>
      </c>
      <c r="P700">
        <v>16.759</v>
      </c>
      <c r="Q700">
        <v>3.0779999999999998</v>
      </c>
      <c r="R700">
        <v>0</v>
      </c>
      <c r="S700">
        <v>3</v>
      </c>
    </row>
    <row r="701" spans="14:19">
      <c r="N701">
        <v>700</v>
      </c>
      <c r="O701">
        <v>0</v>
      </c>
      <c r="P701">
        <v>15.759</v>
      </c>
      <c r="Q701">
        <v>2.37</v>
      </c>
      <c r="R701">
        <v>0</v>
      </c>
      <c r="S701">
        <v>3</v>
      </c>
    </row>
    <row r="702" spans="14:19">
      <c r="N702">
        <v>701</v>
      </c>
      <c r="O702">
        <v>0</v>
      </c>
      <c r="P702">
        <v>15.717000000000001</v>
      </c>
      <c r="Q702">
        <v>1.6339999999999999</v>
      </c>
      <c r="R702">
        <v>0</v>
      </c>
      <c r="S702">
        <v>3</v>
      </c>
    </row>
    <row r="703" spans="14:19">
      <c r="N703">
        <v>702</v>
      </c>
      <c r="O703">
        <v>0</v>
      </c>
      <c r="P703">
        <v>15.592000000000001</v>
      </c>
      <c r="Q703">
        <v>1.3839999999999999</v>
      </c>
      <c r="R703">
        <v>0</v>
      </c>
      <c r="S703">
        <v>3</v>
      </c>
    </row>
    <row r="704" spans="14:19">
      <c r="N704">
        <v>703</v>
      </c>
      <c r="O704">
        <v>0</v>
      </c>
      <c r="P704">
        <v>14.967000000000001</v>
      </c>
      <c r="Q704">
        <v>1.2310000000000001</v>
      </c>
      <c r="R704">
        <v>0</v>
      </c>
      <c r="S704">
        <v>3</v>
      </c>
    </row>
    <row r="705" spans="14:19">
      <c r="N705">
        <v>704</v>
      </c>
      <c r="O705">
        <v>0</v>
      </c>
      <c r="P705">
        <v>14.523</v>
      </c>
      <c r="Q705">
        <v>1.7450000000000001</v>
      </c>
      <c r="R705">
        <v>0</v>
      </c>
      <c r="S705">
        <v>3</v>
      </c>
    </row>
    <row r="706" spans="14:19">
      <c r="N706">
        <v>705</v>
      </c>
      <c r="O706">
        <v>0</v>
      </c>
      <c r="P706">
        <v>13.023</v>
      </c>
      <c r="Q706">
        <v>2.8559999999999999</v>
      </c>
      <c r="R706">
        <v>0</v>
      </c>
      <c r="S706">
        <v>3</v>
      </c>
    </row>
    <row r="707" spans="14:19">
      <c r="N707">
        <v>706</v>
      </c>
      <c r="O707">
        <v>0</v>
      </c>
      <c r="P707">
        <v>12.648</v>
      </c>
      <c r="Q707">
        <v>2.4950000000000001</v>
      </c>
      <c r="R707">
        <v>0</v>
      </c>
      <c r="S707">
        <v>3</v>
      </c>
    </row>
    <row r="708" spans="14:19">
      <c r="N708">
        <v>707</v>
      </c>
      <c r="O708">
        <v>0</v>
      </c>
      <c r="P708">
        <v>12.911</v>
      </c>
      <c r="Q708">
        <v>2.286</v>
      </c>
      <c r="R708">
        <v>0</v>
      </c>
      <c r="S708">
        <v>3</v>
      </c>
    </row>
    <row r="709" spans="14:19">
      <c r="N709">
        <v>708</v>
      </c>
      <c r="O709">
        <v>0</v>
      </c>
      <c r="P709">
        <v>12.494999999999999</v>
      </c>
      <c r="Q709">
        <v>2.2029999999999998</v>
      </c>
      <c r="R709">
        <v>0</v>
      </c>
      <c r="S709">
        <v>3</v>
      </c>
    </row>
    <row r="710" spans="14:19">
      <c r="N710">
        <v>709</v>
      </c>
      <c r="O710">
        <v>0</v>
      </c>
      <c r="P710">
        <v>12.661</v>
      </c>
      <c r="Q710">
        <v>2.0230000000000001</v>
      </c>
      <c r="R710">
        <v>0</v>
      </c>
      <c r="S710">
        <v>3</v>
      </c>
    </row>
    <row r="711" spans="14:19">
      <c r="N711">
        <v>710</v>
      </c>
      <c r="O711">
        <v>0</v>
      </c>
      <c r="P711">
        <v>12.744999999999999</v>
      </c>
      <c r="Q711">
        <v>1.8280000000000001</v>
      </c>
      <c r="R711">
        <v>0</v>
      </c>
      <c r="S711">
        <v>3</v>
      </c>
    </row>
    <row r="712" spans="14:19">
      <c r="N712">
        <v>711</v>
      </c>
      <c r="O712">
        <v>0</v>
      </c>
      <c r="P712">
        <v>12.981</v>
      </c>
      <c r="Q712">
        <v>1.6060000000000001</v>
      </c>
      <c r="R712">
        <v>0</v>
      </c>
      <c r="S712">
        <v>3</v>
      </c>
    </row>
    <row r="713" spans="14:19">
      <c r="N713">
        <v>712</v>
      </c>
      <c r="O713">
        <v>0</v>
      </c>
      <c r="P713">
        <v>13.494999999999999</v>
      </c>
      <c r="Q713">
        <v>1.786</v>
      </c>
      <c r="R713">
        <v>0</v>
      </c>
      <c r="S713">
        <v>3</v>
      </c>
    </row>
    <row r="714" spans="14:19">
      <c r="N714">
        <v>713</v>
      </c>
      <c r="O714">
        <v>0</v>
      </c>
      <c r="P714">
        <v>13.898</v>
      </c>
      <c r="Q714">
        <v>1.5640000000000001</v>
      </c>
      <c r="R714">
        <v>0</v>
      </c>
      <c r="S714">
        <v>3</v>
      </c>
    </row>
    <row r="715" spans="14:19">
      <c r="N715">
        <v>714</v>
      </c>
      <c r="O715">
        <v>0</v>
      </c>
      <c r="P715">
        <v>14.077999999999999</v>
      </c>
      <c r="Q715">
        <v>1.3280000000000001</v>
      </c>
      <c r="R715">
        <v>0</v>
      </c>
      <c r="S715">
        <v>3</v>
      </c>
    </row>
    <row r="716" spans="14:19">
      <c r="N716">
        <v>715</v>
      </c>
      <c r="O716">
        <v>0</v>
      </c>
      <c r="P716">
        <v>14.342000000000001</v>
      </c>
      <c r="Q716">
        <v>1.2030000000000001</v>
      </c>
      <c r="R716">
        <v>0</v>
      </c>
      <c r="S716">
        <v>3</v>
      </c>
    </row>
    <row r="717" spans="14:19">
      <c r="N717">
        <v>716</v>
      </c>
      <c r="O717">
        <v>0</v>
      </c>
      <c r="P717">
        <v>14.064</v>
      </c>
      <c r="Q717">
        <v>0.75900000000000001</v>
      </c>
      <c r="R717">
        <v>0</v>
      </c>
      <c r="S717">
        <v>3</v>
      </c>
    </row>
    <row r="718" spans="14:19">
      <c r="N718">
        <v>717</v>
      </c>
      <c r="O718">
        <v>0</v>
      </c>
      <c r="P718">
        <v>19.3</v>
      </c>
      <c r="Q718">
        <v>4.6340000000000003</v>
      </c>
      <c r="R718">
        <v>0</v>
      </c>
      <c r="S718">
        <v>4</v>
      </c>
    </row>
    <row r="719" spans="14:19">
      <c r="N719">
        <v>718</v>
      </c>
      <c r="O719">
        <v>0</v>
      </c>
      <c r="P719">
        <v>19.55</v>
      </c>
      <c r="Q719">
        <v>5.0229999999999997</v>
      </c>
      <c r="R719">
        <v>0</v>
      </c>
      <c r="S719">
        <v>4</v>
      </c>
    </row>
    <row r="720" spans="14:19">
      <c r="N720">
        <v>719</v>
      </c>
      <c r="O720">
        <v>0</v>
      </c>
      <c r="P720">
        <v>19.314</v>
      </c>
      <c r="Q720">
        <v>5.1609999999999996</v>
      </c>
      <c r="R720">
        <v>0</v>
      </c>
      <c r="S720">
        <v>4</v>
      </c>
    </row>
    <row r="721" spans="14:19">
      <c r="N721">
        <v>720</v>
      </c>
      <c r="O721">
        <v>0</v>
      </c>
      <c r="P721">
        <v>19.161000000000001</v>
      </c>
      <c r="Q721">
        <v>5.3840000000000003</v>
      </c>
      <c r="R721">
        <v>0</v>
      </c>
      <c r="S721">
        <v>4</v>
      </c>
    </row>
    <row r="722" spans="14:19">
      <c r="N722">
        <v>721</v>
      </c>
      <c r="O722">
        <v>0</v>
      </c>
      <c r="P722">
        <v>19.411000000000001</v>
      </c>
      <c r="Q722">
        <v>5.6340000000000003</v>
      </c>
      <c r="R722">
        <v>0</v>
      </c>
      <c r="S722">
        <v>4</v>
      </c>
    </row>
    <row r="723" spans="14:19">
      <c r="N723">
        <v>722</v>
      </c>
      <c r="O723">
        <v>0</v>
      </c>
      <c r="P723">
        <v>19.745000000000001</v>
      </c>
      <c r="Q723">
        <v>5.9109999999999996</v>
      </c>
      <c r="R723">
        <v>0</v>
      </c>
      <c r="S723">
        <v>4</v>
      </c>
    </row>
    <row r="724" spans="14:19">
      <c r="N724">
        <v>723</v>
      </c>
      <c r="O724">
        <v>0</v>
      </c>
      <c r="P724">
        <v>19.202999999999999</v>
      </c>
      <c r="Q724">
        <v>5.9809999999999999</v>
      </c>
      <c r="R724">
        <v>0</v>
      </c>
      <c r="S724">
        <v>4</v>
      </c>
    </row>
    <row r="725" spans="14:19">
      <c r="N725">
        <v>724</v>
      </c>
      <c r="O725">
        <v>0</v>
      </c>
      <c r="P725">
        <v>18.606000000000002</v>
      </c>
      <c r="Q725">
        <v>5.7450000000000001</v>
      </c>
      <c r="R725">
        <v>0</v>
      </c>
      <c r="S725">
        <v>4</v>
      </c>
    </row>
    <row r="726" spans="14:19">
      <c r="N726">
        <v>725</v>
      </c>
      <c r="O726">
        <v>0</v>
      </c>
      <c r="P726">
        <v>18.356000000000002</v>
      </c>
      <c r="Q726">
        <v>5.55</v>
      </c>
      <c r="R726">
        <v>0</v>
      </c>
      <c r="S726">
        <v>4</v>
      </c>
    </row>
    <row r="727" spans="14:19">
      <c r="N727">
        <v>726</v>
      </c>
      <c r="O727">
        <v>0</v>
      </c>
      <c r="P727">
        <v>18.273</v>
      </c>
      <c r="Q727">
        <v>5.2590000000000003</v>
      </c>
      <c r="R727">
        <v>0</v>
      </c>
      <c r="S727">
        <v>4</v>
      </c>
    </row>
    <row r="728" spans="14:19">
      <c r="N728">
        <v>727</v>
      </c>
      <c r="O728">
        <v>0</v>
      </c>
      <c r="P728">
        <v>18.425000000000001</v>
      </c>
      <c r="Q728">
        <v>4.9109999999999996</v>
      </c>
      <c r="R728">
        <v>0</v>
      </c>
      <c r="S728">
        <v>4</v>
      </c>
    </row>
    <row r="729" spans="14:19">
      <c r="N729">
        <v>728</v>
      </c>
      <c r="O729">
        <v>0</v>
      </c>
      <c r="P729">
        <v>18.37</v>
      </c>
      <c r="Q729">
        <v>4.6749999999999998</v>
      </c>
      <c r="R729">
        <v>0</v>
      </c>
      <c r="S729">
        <v>4</v>
      </c>
    </row>
    <row r="730" spans="14:19">
      <c r="N730">
        <v>729</v>
      </c>
      <c r="O730">
        <v>0</v>
      </c>
      <c r="P730">
        <v>17.648</v>
      </c>
      <c r="Q730">
        <v>4.7309999999999999</v>
      </c>
      <c r="R730">
        <v>0</v>
      </c>
      <c r="S730">
        <v>4</v>
      </c>
    </row>
    <row r="731" spans="14:19">
      <c r="N731">
        <v>730</v>
      </c>
      <c r="O731">
        <v>0</v>
      </c>
      <c r="P731">
        <v>17.273</v>
      </c>
      <c r="Q731">
        <v>4.8419999999999996</v>
      </c>
      <c r="R731">
        <v>0</v>
      </c>
      <c r="S731">
        <v>4</v>
      </c>
    </row>
    <row r="732" spans="14:19">
      <c r="N732">
        <v>731</v>
      </c>
      <c r="O732">
        <v>0</v>
      </c>
      <c r="P732">
        <v>16.898</v>
      </c>
      <c r="Q732">
        <v>4.5229999999999997</v>
      </c>
      <c r="R732">
        <v>0</v>
      </c>
      <c r="S732">
        <v>4</v>
      </c>
    </row>
    <row r="733" spans="14:19">
      <c r="N733">
        <v>732</v>
      </c>
      <c r="O733">
        <v>0</v>
      </c>
      <c r="P733">
        <v>17.134</v>
      </c>
      <c r="Q733">
        <v>4.2169999999999996</v>
      </c>
      <c r="R733">
        <v>0</v>
      </c>
      <c r="S733">
        <v>4</v>
      </c>
    </row>
    <row r="734" spans="14:19">
      <c r="N734">
        <v>733</v>
      </c>
      <c r="O734">
        <v>0</v>
      </c>
      <c r="P734">
        <v>16.759</v>
      </c>
      <c r="Q734">
        <v>4.87</v>
      </c>
      <c r="R734">
        <v>0</v>
      </c>
      <c r="S734">
        <v>4</v>
      </c>
    </row>
    <row r="735" spans="14:19">
      <c r="N735">
        <v>734</v>
      </c>
      <c r="O735">
        <v>0</v>
      </c>
      <c r="P735">
        <v>16.273</v>
      </c>
      <c r="Q735">
        <v>4.9669999999999996</v>
      </c>
      <c r="R735">
        <v>0</v>
      </c>
      <c r="S735">
        <v>4</v>
      </c>
    </row>
    <row r="736" spans="14:19">
      <c r="N736">
        <v>735</v>
      </c>
      <c r="O736">
        <v>0</v>
      </c>
      <c r="P736">
        <v>15.8</v>
      </c>
      <c r="Q736">
        <v>4.8840000000000003</v>
      </c>
      <c r="R736">
        <v>0</v>
      </c>
      <c r="S736">
        <v>4</v>
      </c>
    </row>
    <row r="737" spans="14:19">
      <c r="N737">
        <v>736</v>
      </c>
      <c r="O737">
        <v>0</v>
      </c>
      <c r="P737">
        <v>15.356</v>
      </c>
      <c r="Q737">
        <v>5.0919999999999996</v>
      </c>
      <c r="R737">
        <v>0</v>
      </c>
      <c r="S737">
        <v>4</v>
      </c>
    </row>
    <row r="738" spans="14:19">
      <c r="N738">
        <v>737</v>
      </c>
      <c r="O738">
        <v>0</v>
      </c>
      <c r="P738">
        <v>16.439</v>
      </c>
      <c r="Q738">
        <v>5.1340000000000003</v>
      </c>
      <c r="R738">
        <v>0</v>
      </c>
      <c r="S738">
        <v>4</v>
      </c>
    </row>
    <row r="739" spans="14:19">
      <c r="N739">
        <v>738</v>
      </c>
      <c r="O739">
        <v>0</v>
      </c>
      <c r="P739">
        <v>15.884</v>
      </c>
      <c r="Q739">
        <v>5.3979999999999997</v>
      </c>
      <c r="R739">
        <v>0</v>
      </c>
      <c r="S739">
        <v>4</v>
      </c>
    </row>
    <row r="740" spans="14:19">
      <c r="N740">
        <v>739</v>
      </c>
      <c r="O740">
        <v>0</v>
      </c>
      <c r="P740">
        <v>16.189</v>
      </c>
      <c r="Q740">
        <v>5.62</v>
      </c>
      <c r="R740">
        <v>0</v>
      </c>
      <c r="S740">
        <v>4</v>
      </c>
    </row>
    <row r="741" spans="14:19">
      <c r="N741">
        <v>740</v>
      </c>
      <c r="O741">
        <v>0</v>
      </c>
      <c r="P741">
        <v>17.023</v>
      </c>
      <c r="Q741">
        <v>5.55</v>
      </c>
      <c r="R741">
        <v>0</v>
      </c>
      <c r="S741">
        <v>4</v>
      </c>
    </row>
    <row r="742" spans="14:19">
      <c r="N742">
        <v>741</v>
      </c>
      <c r="O742">
        <v>0</v>
      </c>
      <c r="P742">
        <v>17.648</v>
      </c>
      <c r="Q742">
        <v>5.3559999999999999</v>
      </c>
      <c r="R742">
        <v>0</v>
      </c>
      <c r="S742">
        <v>4</v>
      </c>
    </row>
    <row r="743" spans="14:19">
      <c r="N743">
        <v>742</v>
      </c>
      <c r="O743">
        <v>0</v>
      </c>
      <c r="P743">
        <v>14.717000000000001</v>
      </c>
      <c r="Q743">
        <v>5.62</v>
      </c>
      <c r="R743">
        <v>0</v>
      </c>
      <c r="S743">
        <v>4</v>
      </c>
    </row>
    <row r="744" spans="14:19">
      <c r="N744">
        <v>743</v>
      </c>
      <c r="O744">
        <v>0</v>
      </c>
      <c r="P744">
        <v>14.842000000000001</v>
      </c>
      <c r="Q744">
        <v>5.4390000000000001</v>
      </c>
      <c r="R744">
        <v>0</v>
      </c>
      <c r="S744">
        <v>4</v>
      </c>
    </row>
    <row r="745" spans="14:19">
      <c r="N745">
        <v>744</v>
      </c>
      <c r="O745">
        <v>0</v>
      </c>
      <c r="P745">
        <v>14.842000000000001</v>
      </c>
      <c r="Q745">
        <v>5.2859999999999996</v>
      </c>
      <c r="R745">
        <v>0</v>
      </c>
      <c r="S745">
        <v>4</v>
      </c>
    </row>
    <row r="746" spans="14:19">
      <c r="N746">
        <v>745</v>
      </c>
      <c r="O746">
        <v>0</v>
      </c>
      <c r="P746">
        <v>14.689</v>
      </c>
      <c r="Q746">
        <v>5.1340000000000003</v>
      </c>
      <c r="R746">
        <v>0</v>
      </c>
      <c r="S746">
        <v>4</v>
      </c>
    </row>
    <row r="747" spans="14:19">
      <c r="N747">
        <v>746</v>
      </c>
      <c r="O747">
        <v>0</v>
      </c>
      <c r="P747">
        <v>14.37</v>
      </c>
      <c r="Q747">
        <v>5.2729999999999997</v>
      </c>
      <c r="R747">
        <v>0</v>
      </c>
      <c r="S747">
        <v>4</v>
      </c>
    </row>
    <row r="748" spans="14:19">
      <c r="N748">
        <v>747</v>
      </c>
      <c r="O748">
        <v>0</v>
      </c>
      <c r="P748">
        <v>13.884</v>
      </c>
      <c r="Q748">
        <v>5.4669999999999996</v>
      </c>
      <c r="R748">
        <v>0</v>
      </c>
      <c r="S748">
        <v>4</v>
      </c>
    </row>
    <row r="749" spans="14:19">
      <c r="N749">
        <v>748</v>
      </c>
      <c r="O749">
        <v>0</v>
      </c>
      <c r="P749">
        <v>13.523</v>
      </c>
      <c r="Q749">
        <v>5.4669999999999996</v>
      </c>
      <c r="R749">
        <v>0</v>
      </c>
      <c r="S749">
        <v>4</v>
      </c>
    </row>
    <row r="750" spans="14:19">
      <c r="N750">
        <v>749</v>
      </c>
      <c r="O750">
        <v>0</v>
      </c>
      <c r="P750">
        <v>13.509</v>
      </c>
      <c r="Q750">
        <v>5.3</v>
      </c>
      <c r="R750">
        <v>0</v>
      </c>
      <c r="S750">
        <v>4</v>
      </c>
    </row>
    <row r="751" spans="14:19">
      <c r="N751">
        <v>750</v>
      </c>
      <c r="O751">
        <v>0</v>
      </c>
      <c r="P751">
        <v>13.759</v>
      </c>
      <c r="Q751">
        <v>5.0640000000000001</v>
      </c>
      <c r="R751">
        <v>0</v>
      </c>
      <c r="S751">
        <v>4</v>
      </c>
    </row>
    <row r="752" spans="14:19">
      <c r="N752">
        <v>751</v>
      </c>
      <c r="O752">
        <v>0</v>
      </c>
      <c r="P752">
        <v>13.759</v>
      </c>
      <c r="Q752">
        <v>4.8559999999999999</v>
      </c>
      <c r="R752">
        <v>0</v>
      </c>
      <c r="S752">
        <v>4</v>
      </c>
    </row>
    <row r="753" spans="14:19">
      <c r="N753">
        <v>752</v>
      </c>
      <c r="O753">
        <v>0</v>
      </c>
      <c r="P753">
        <v>15.411</v>
      </c>
      <c r="Q753">
        <v>4.7169999999999996</v>
      </c>
      <c r="R753">
        <v>0</v>
      </c>
      <c r="S753">
        <v>4</v>
      </c>
    </row>
    <row r="754" spans="14:19">
      <c r="N754">
        <v>753</v>
      </c>
      <c r="O754">
        <v>0</v>
      </c>
      <c r="P754">
        <v>14.898</v>
      </c>
      <c r="Q754">
        <v>4.5640000000000001</v>
      </c>
      <c r="R754">
        <v>0</v>
      </c>
      <c r="S754">
        <v>4</v>
      </c>
    </row>
    <row r="755" spans="14:19">
      <c r="N755">
        <v>754</v>
      </c>
      <c r="O755">
        <v>0</v>
      </c>
      <c r="P755">
        <v>14.661</v>
      </c>
      <c r="Q755">
        <v>3.8980000000000001</v>
      </c>
      <c r="R755">
        <v>0</v>
      </c>
      <c r="S755">
        <v>4</v>
      </c>
    </row>
    <row r="756" spans="14:19">
      <c r="N756">
        <v>755</v>
      </c>
      <c r="O756">
        <v>0</v>
      </c>
      <c r="P756">
        <v>13.648</v>
      </c>
      <c r="Q756">
        <v>3.8</v>
      </c>
      <c r="R756">
        <v>0</v>
      </c>
      <c r="S756">
        <v>4</v>
      </c>
    </row>
    <row r="757" spans="14:19">
      <c r="N757">
        <v>756</v>
      </c>
      <c r="O757">
        <v>0</v>
      </c>
      <c r="P757">
        <v>13.023</v>
      </c>
      <c r="Q757">
        <v>3.9529999999999998</v>
      </c>
      <c r="R757">
        <v>0</v>
      </c>
      <c r="S757">
        <v>4</v>
      </c>
    </row>
    <row r="758" spans="14:19">
      <c r="N758">
        <v>757</v>
      </c>
      <c r="O758">
        <v>0</v>
      </c>
      <c r="P758">
        <v>13.439</v>
      </c>
      <c r="Q758">
        <v>4.2729999999999997</v>
      </c>
      <c r="R758">
        <v>0</v>
      </c>
      <c r="S758">
        <v>4</v>
      </c>
    </row>
    <row r="759" spans="14:19">
      <c r="N759">
        <v>758</v>
      </c>
      <c r="O759">
        <v>0</v>
      </c>
      <c r="P759">
        <v>12.564</v>
      </c>
      <c r="Q759">
        <v>4.4809999999999999</v>
      </c>
      <c r="R759">
        <v>0</v>
      </c>
      <c r="S759">
        <v>4</v>
      </c>
    </row>
    <row r="760" spans="14:19">
      <c r="N760">
        <v>759</v>
      </c>
      <c r="O760">
        <v>0</v>
      </c>
      <c r="P760">
        <v>12.689</v>
      </c>
      <c r="Q760">
        <v>3.6749999999999998</v>
      </c>
      <c r="R760">
        <v>0</v>
      </c>
      <c r="S760">
        <v>4</v>
      </c>
    </row>
    <row r="761" spans="14:19">
      <c r="N761">
        <v>760</v>
      </c>
      <c r="O761">
        <v>0</v>
      </c>
      <c r="P761">
        <v>12.009</v>
      </c>
      <c r="Q761">
        <v>3.7589999999999999</v>
      </c>
      <c r="R761">
        <v>0</v>
      </c>
      <c r="S761">
        <v>4</v>
      </c>
    </row>
    <row r="762" spans="14:19">
      <c r="N762">
        <v>761</v>
      </c>
      <c r="O762">
        <v>0</v>
      </c>
      <c r="P762">
        <v>11.648</v>
      </c>
      <c r="Q762">
        <v>3.2730000000000001</v>
      </c>
      <c r="R762">
        <v>0</v>
      </c>
      <c r="S762">
        <v>4</v>
      </c>
    </row>
    <row r="763" spans="14:19">
      <c r="N763">
        <v>762</v>
      </c>
      <c r="O763">
        <v>0</v>
      </c>
      <c r="P763">
        <v>11.689</v>
      </c>
      <c r="Q763">
        <v>3.9670000000000001</v>
      </c>
      <c r="R763">
        <v>0</v>
      </c>
      <c r="S763">
        <v>4</v>
      </c>
    </row>
    <row r="764" spans="14:19">
      <c r="N764">
        <v>763</v>
      </c>
      <c r="O764">
        <v>0</v>
      </c>
      <c r="P764">
        <v>11.744999999999999</v>
      </c>
      <c r="Q764">
        <v>4.2859999999999996</v>
      </c>
      <c r="R764">
        <v>0</v>
      </c>
      <c r="S764">
        <v>4</v>
      </c>
    </row>
    <row r="765" spans="14:19">
      <c r="N765">
        <v>764</v>
      </c>
      <c r="O765">
        <v>0</v>
      </c>
      <c r="P765">
        <v>11.523</v>
      </c>
      <c r="Q765">
        <v>4.3840000000000003</v>
      </c>
      <c r="R765">
        <v>0</v>
      </c>
      <c r="S765">
        <v>4</v>
      </c>
    </row>
    <row r="766" spans="14:19">
      <c r="N766">
        <v>765</v>
      </c>
      <c r="O766">
        <v>0</v>
      </c>
      <c r="P766">
        <v>11.661</v>
      </c>
      <c r="Q766">
        <v>4.8140000000000001</v>
      </c>
      <c r="R766">
        <v>0</v>
      </c>
      <c r="S766">
        <v>4</v>
      </c>
    </row>
    <row r="767" spans="14:19">
      <c r="N767">
        <v>766</v>
      </c>
      <c r="O767">
        <v>0</v>
      </c>
      <c r="P767">
        <v>12.064</v>
      </c>
      <c r="Q767">
        <v>5.1609999999999996</v>
      </c>
      <c r="R767">
        <v>0</v>
      </c>
      <c r="S767">
        <v>4</v>
      </c>
    </row>
    <row r="768" spans="14:19">
      <c r="N768">
        <v>767</v>
      </c>
      <c r="O768">
        <v>0</v>
      </c>
      <c r="P768">
        <v>12.425000000000001</v>
      </c>
      <c r="Q768">
        <v>5.3280000000000003</v>
      </c>
      <c r="R768">
        <v>0</v>
      </c>
      <c r="S768">
        <v>4</v>
      </c>
    </row>
    <row r="769" spans="14:19">
      <c r="N769">
        <v>768</v>
      </c>
      <c r="O769">
        <v>0</v>
      </c>
      <c r="P769">
        <v>10.952999999999999</v>
      </c>
      <c r="Q769">
        <v>5.05</v>
      </c>
      <c r="R769">
        <v>0</v>
      </c>
      <c r="S769">
        <v>4</v>
      </c>
    </row>
    <row r="770" spans="14:19">
      <c r="N770">
        <v>769</v>
      </c>
      <c r="O770">
        <v>0</v>
      </c>
      <c r="P770">
        <v>10.592000000000001</v>
      </c>
      <c r="Q770">
        <v>5.1609999999999996</v>
      </c>
      <c r="R770">
        <v>0</v>
      </c>
      <c r="S770">
        <v>4</v>
      </c>
    </row>
    <row r="771" spans="14:19">
      <c r="N771">
        <v>770</v>
      </c>
      <c r="O771">
        <v>0</v>
      </c>
      <c r="P771">
        <v>10.342000000000001</v>
      </c>
      <c r="Q771">
        <v>4.8840000000000003</v>
      </c>
      <c r="R771">
        <v>0</v>
      </c>
      <c r="S771">
        <v>4</v>
      </c>
    </row>
    <row r="772" spans="14:19">
      <c r="N772">
        <v>771</v>
      </c>
      <c r="O772">
        <v>0</v>
      </c>
      <c r="P772">
        <v>10.577999999999999</v>
      </c>
      <c r="Q772">
        <v>4.6340000000000003</v>
      </c>
      <c r="R772">
        <v>0</v>
      </c>
      <c r="S772">
        <v>4</v>
      </c>
    </row>
    <row r="773" spans="14:19">
      <c r="N773">
        <v>772</v>
      </c>
      <c r="O773">
        <v>0</v>
      </c>
      <c r="P773">
        <v>10.884</v>
      </c>
      <c r="Q773">
        <v>4.5229999999999997</v>
      </c>
      <c r="R773">
        <v>0</v>
      </c>
      <c r="S773">
        <v>4</v>
      </c>
    </row>
    <row r="774" spans="14:19">
      <c r="N774">
        <v>773</v>
      </c>
      <c r="O774">
        <v>0</v>
      </c>
      <c r="P774">
        <v>11.036</v>
      </c>
      <c r="Q774">
        <v>4.7859999999999996</v>
      </c>
      <c r="R774">
        <v>0</v>
      </c>
      <c r="S774">
        <v>4</v>
      </c>
    </row>
    <row r="775" spans="14:19">
      <c r="N775">
        <v>774</v>
      </c>
      <c r="O775">
        <v>0</v>
      </c>
      <c r="P775">
        <v>11.023</v>
      </c>
      <c r="Q775">
        <v>3.9249999999999998</v>
      </c>
      <c r="R775">
        <v>0</v>
      </c>
      <c r="S775">
        <v>4</v>
      </c>
    </row>
    <row r="776" spans="14:19">
      <c r="N776">
        <v>775</v>
      </c>
      <c r="O776">
        <v>0</v>
      </c>
      <c r="P776">
        <v>10.536</v>
      </c>
      <c r="Q776">
        <v>4.3559999999999999</v>
      </c>
      <c r="R776">
        <v>0</v>
      </c>
      <c r="S776">
        <v>4</v>
      </c>
    </row>
    <row r="777" spans="14:19">
      <c r="N777">
        <v>776</v>
      </c>
      <c r="O777">
        <v>0</v>
      </c>
      <c r="P777">
        <v>10.3</v>
      </c>
      <c r="Q777">
        <v>4.5229999999999997</v>
      </c>
      <c r="R777">
        <v>0</v>
      </c>
      <c r="S777">
        <v>4</v>
      </c>
    </row>
    <row r="778" spans="14:19">
      <c r="N778">
        <v>777</v>
      </c>
      <c r="O778">
        <v>0</v>
      </c>
      <c r="P778">
        <v>9.4949999999999992</v>
      </c>
      <c r="Q778">
        <v>5.1059999999999999</v>
      </c>
      <c r="R778">
        <v>0</v>
      </c>
      <c r="S778">
        <v>4</v>
      </c>
    </row>
    <row r="779" spans="14:19">
      <c r="N779">
        <v>778</v>
      </c>
      <c r="O779">
        <v>0</v>
      </c>
      <c r="P779">
        <v>9.3699999999999992</v>
      </c>
      <c r="Q779">
        <v>4.9669999999999996</v>
      </c>
      <c r="R779">
        <v>0</v>
      </c>
      <c r="S779">
        <v>4</v>
      </c>
    </row>
    <row r="780" spans="14:19">
      <c r="N780">
        <v>779</v>
      </c>
      <c r="O780">
        <v>0</v>
      </c>
      <c r="P780">
        <v>8.9390000000000001</v>
      </c>
      <c r="Q780">
        <v>4.7450000000000001</v>
      </c>
      <c r="R780">
        <v>0</v>
      </c>
      <c r="S780">
        <v>4</v>
      </c>
    </row>
    <row r="781" spans="14:19">
      <c r="N781">
        <v>780</v>
      </c>
      <c r="O781">
        <v>0</v>
      </c>
      <c r="P781">
        <v>8.8279999999999994</v>
      </c>
      <c r="Q781">
        <v>4.8979999999999997</v>
      </c>
      <c r="R781">
        <v>0</v>
      </c>
      <c r="S781">
        <v>4</v>
      </c>
    </row>
    <row r="782" spans="14:19">
      <c r="N782">
        <v>781</v>
      </c>
      <c r="O782">
        <v>0</v>
      </c>
      <c r="P782">
        <v>8.4109999999999996</v>
      </c>
      <c r="Q782">
        <v>4.9249999999999998</v>
      </c>
      <c r="R782">
        <v>0</v>
      </c>
      <c r="S782">
        <v>4</v>
      </c>
    </row>
    <row r="783" spans="14:19">
      <c r="N783">
        <v>782</v>
      </c>
      <c r="O783">
        <v>0</v>
      </c>
      <c r="P783">
        <v>8.6059999999999999</v>
      </c>
      <c r="Q783">
        <v>5.1890000000000001</v>
      </c>
      <c r="R783">
        <v>0</v>
      </c>
      <c r="S783">
        <v>4</v>
      </c>
    </row>
    <row r="784" spans="14:19">
      <c r="N784">
        <v>783</v>
      </c>
      <c r="O784">
        <v>0</v>
      </c>
      <c r="P784">
        <v>8.0229999999999997</v>
      </c>
      <c r="Q784">
        <v>5.3280000000000003</v>
      </c>
      <c r="R784">
        <v>0</v>
      </c>
      <c r="S784">
        <v>4</v>
      </c>
    </row>
    <row r="785" spans="14:19">
      <c r="N785">
        <v>784</v>
      </c>
      <c r="O785">
        <v>0</v>
      </c>
      <c r="P785">
        <v>7.6479999999999997</v>
      </c>
      <c r="Q785">
        <v>5.4669999999999996</v>
      </c>
      <c r="R785">
        <v>0</v>
      </c>
      <c r="S785">
        <v>4</v>
      </c>
    </row>
    <row r="786" spans="14:19">
      <c r="N786">
        <v>785</v>
      </c>
      <c r="O786">
        <v>0</v>
      </c>
      <c r="P786">
        <v>7.7309999999999999</v>
      </c>
      <c r="Q786">
        <v>5.0780000000000003</v>
      </c>
      <c r="R786">
        <v>0</v>
      </c>
      <c r="S786">
        <v>4</v>
      </c>
    </row>
    <row r="787" spans="14:19">
      <c r="N787">
        <v>786</v>
      </c>
      <c r="O787">
        <v>0</v>
      </c>
      <c r="P787">
        <v>7.3979999999999997</v>
      </c>
      <c r="Q787">
        <v>5.1340000000000003</v>
      </c>
      <c r="R787">
        <v>0</v>
      </c>
      <c r="S787">
        <v>4</v>
      </c>
    </row>
    <row r="788" spans="14:19">
      <c r="N788">
        <v>787</v>
      </c>
      <c r="O788">
        <v>0</v>
      </c>
      <c r="P788">
        <v>6.6749999999999998</v>
      </c>
      <c r="Q788">
        <v>5.0640000000000001</v>
      </c>
      <c r="R788">
        <v>0</v>
      </c>
      <c r="S788">
        <v>4</v>
      </c>
    </row>
    <row r="789" spans="14:19">
      <c r="N789">
        <v>788</v>
      </c>
      <c r="O789">
        <v>0</v>
      </c>
      <c r="P789">
        <v>6.6749999999999998</v>
      </c>
      <c r="Q789">
        <v>4.8</v>
      </c>
      <c r="R789">
        <v>0</v>
      </c>
      <c r="S789">
        <v>4</v>
      </c>
    </row>
    <row r="790" spans="14:19">
      <c r="N790">
        <v>789</v>
      </c>
      <c r="O790">
        <v>0</v>
      </c>
      <c r="P790">
        <v>7.3419999999999996</v>
      </c>
      <c r="Q790">
        <v>4.8559999999999999</v>
      </c>
      <c r="R790">
        <v>0</v>
      </c>
      <c r="S790">
        <v>4</v>
      </c>
    </row>
    <row r="791" spans="14:19">
      <c r="N791">
        <v>790</v>
      </c>
      <c r="O791">
        <v>0</v>
      </c>
      <c r="P791">
        <v>7.3280000000000003</v>
      </c>
      <c r="Q791">
        <v>4.5229999999999997</v>
      </c>
      <c r="R791">
        <v>0</v>
      </c>
      <c r="S791">
        <v>4</v>
      </c>
    </row>
    <row r="792" spans="14:19">
      <c r="N792">
        <v>791</v>
      </c>
      <c r="O792">
        <v>0</v>
      </c>
      <c r="P792">
        <v>7.7859999999999996</v>
      </c>
      <c r="Q792">
        <v>4.4950000000000001</v>
      </c>
      <c r="R792">
        <v>0</v>
      </c>
      <c r="S792">
        <v>4</v>
      </c>
    </row>
    <row r="793" spans="14:19">
      <c r="N793">
        <v>792</v>
      </c>
      <c r="O793">
        <v>0</v>
      </c>
      <c r="P793">
        <v>9.0359999999999996</v>
      </c>
      <c r="Q793">
        <v>4.2030000000000003</v>
      </c>
      <c r="R793">
        <v>0</v>
      </c>
      <c r="S793">
        <v>4</v>
      </c>
    </row>
    <row r="794" spans="14:19">
      <c r="N794">
        <v>793</v>
      </c>
      <c r="O794">
        <v>0</v>
      </c>
      <c r="P794">
        <v>9.4670000000000005</v>
      </c>
      <c r="Q794">
        <v>4.0229999999999997</v>
      </c>
      <c r="R794">
        <v>0</v>
      </c>
      <c r="S794">
        <v>4</v>
      </c>
    </row>
    <row r="795" spans="14:19">
      <c r="N795">
        <v>794</v>
      </c>
      <c r="O795">
        <v>0</v>
      </c>
      <c r="P795">
        <v>8.7859999999999996</v>
      </c>
      <c r="Q795">
        <v>4.0359999999999996</v>
      </c>
      <c r="R795">
        <v>0</v>
      </c>
      <c r="S795">
        <v>4</v>
      </c>
    </row>
    <row r="796" spans="14:19">
      <c r="N796">
        <v>795</v>
      </c>
      <c r="O796">
        <v>0</v>
      </c>
      <c r="P796">
        <v>8.7859999999999996</v>
      </c>
      <c r="Q796">
        <v>3.8420000000000001</v>
      </c>
      <c r="R796">
        <v>0</v>
      </c>
      <c r="S796">
        <v>4</v>
      </c>
    </row>
    <row r="797" spans="14:19">
      <c r="N797">
        <v>796</v>
      </c>
      <c r="O797">
        <v>0</v>
      </c>
      <c r="P797">
        <v>8.7859999999999996</v>
      </c>
      <c r="Q797">
        <v>3.3839999999999999</v>
      </c>
      <c r="R797">
        <v>0</v>
      </c>
      <c r="S797">
        <v>4</v>
      </c>
    </row>
    <row r="798" spans="14:19">
      <c r="N798">
        <v>797</v>
      </c>
      <c r="O798">
        <v>0</v>
      </c>
      <c r="P798">
        <v>9.0920000000000005</v>
      </c>
      <c r="Q798">
        <v>3.37</v>
      </c>
      <c r="R798">
        <v>0</v>
      </c>
      <c r="S798">
        <v>4</v>
      </c>
    </row>
    <row r="799" spans="14:19">
      <c r="N799">
        <v>798</v>
      </c>
      <c r="O799">
        <v>0</v>
      </c>
      <c r="P799">
        <v>9.5359999999999996</v>
      </c>
      <c r="Q799">
        <v>3.5089999999999999</v>
      </c>
      <c r="R799">
        <v>0</v>
      </c>
      <c r="S799">
        <v>4</v>
      </c>
    </row>
    <row r="800" spans="14:19">
      <c r="N800">
        <v>799</v>
      </c>
      <c r="O800">
        <v>0</v>
      </c>
      <c r="P800">
        <v>9.8420000000000005</v>
      </c>
      <c r="Q800">
        <v>3.411</v>
      </c>
      <c r="R800">
        <v>0</v>
      </c>
      <c r="S800">
        <v>4</v>
      </c>
    </row>
    <row r="801" spans="14:19">
      <c r="N801">
        <v>800</v>
      </c>
      <c r="O801">
        <v>0</v>
      </c>
      <c r="P801">
        <v>9.4529999999999994</v>
      </c>
      <c r="Q801">
        <v>3.2589999999999999</v>
      </c>
      <c r="R801">
        <v>0</v>
      </c>
      <c r="S801">
        <v>4</v>
      </c>
    </row>
    <row r="802" spans="14:19">
      <c r="N802">
        <v>801</v>
      </c>
      <c r="O802">
        <v>0</v>
      </c>
      <c r="P802">
        <v>9.1479999999999997</v>
      </c>
      <c r="Q802">
        <v>3.0089999999999999</v>
      </c>
      <c r="R802">
        <v>0</v>
      </c>
      <c r="S802">
        <v>4</v>
      </c>
    </row>
    <row r="803" spans="14:19">
      <c r="N803">
        <v>802</v>
      </c>
      <c r="O803">
        <v>0</v>
      </c>
      <c r="P803">
        <v>8.7729999999999997</v>
      </c>
      <c r="Q803">
        <v>2.7450000000000001</v>
      </c>
      <c r="R803">
        <v>0</v>
      </c>
      <c r="S803">
        <v>4</v>
      </c>
    </row>
    <row r="804" spans="14:19">
      <c r="N804">
        <v>803</v>
      </c>
      <c r="O804">
        <v>0</v>
      </c>
      <c r="P804">
        <v>7.3559999999999999</v>
      </c>
      <c r="Q804">
        <v>2.7589999999999999</v>
      </c>
      <c r="R804">
        <v>0</v>
      </c>
      <c r="S804">
        <v>4</v>
      </c>
    </row>
    <row r="805" spans="14:19">
      <c r="N805">
        <v>804</v>
      </c>
      <c r="O805">
        <v>0</v>
      </c>
      <c r="P805">
        <v>6.5359999999999996</v>
      </c>
      <c r="Q805">
        <v>2.8140000000000001</v>
      </c>
      <c r="R805">
        <v>0</v>
      </c>
      <c r="S805">
        <v>4</v>
      </c>
    </row>
    <row r="806" spans="14:19">
      <c r="N806">
        <v>805</v>
      </c>
      <c r="O806">
        <v>0</v>
      </c>
      <c r="P806">
        <v>6.2450000000000001</v>
      </c>
      <c r="Q806">
        <v>3.036</v>
      </c>
      <c r="R806">
        <v>0</v>
      </c>
      <c r="S806">
        <v>4</v>
      </c>
    </row>
    <row r="807" spans="14:19">
      <c r="N807">
        <v>806</v>
      </c>
      <c r="O807">
        <v>0</v>
      </c>
      <c r="P807">
        <v>5.6749999999999998</v>
      </c>
      <c r="Q807">
        <v>3.0779999999999998</v>
      </c>
      <c r="R807">
        <v>0</v>
      </c>
      <c r="S807">
        <v>4</v>
      </c>
    </row>
    <row r="808" spans="14:19">
      <c r="N808">
        <v>807</v>
      </c>
      <c r="O808">
        <v>0</v>
      </c>
      <c r="P808">
        <v>5.3140000000000001</v>
      </c>
      <c r="Q808">
        <v>2.8420000000000001</v>
      </c>
      <c r="R808">
        <v>0</v>
      </c>
      <c r="S808">
        <v>4</v>
      </c>
    </row>
    <row r="809" spans="14:19">
      <c r="N809">
        <v>808</v>
      </c>
      <c r="O809">
        <v>0</v>
      </c>
      <c r="P809">
        <v>4.1890000000000001</v>
      </c>
      <c r="Q809">
        <v>2.9950000000000001</v>
      </c>
      <c r="R809">
        <v>0</v>
      </c>
      <c r="S809">
        <v>4</v>
      </c>
    </row>
    <row r="810" spans="14:19">
      <c r="N810">
        <v>809</v>
      </c>
      <c r="O810">
        <v>0</v>
      </c>
      <c r="P810">
        <v>3.7450000000000001</v>
      </c>
      <c r="Q810">
        <v>3.286</v>
      </c>
      <c r="R810">
        <v>0</v>
      </c>
      <c r="S810">
        <v>4</v>
      </c>
    </row>
    <row r="811" spans="14:19">
      <c r="N811">
        <v>810</v>
      </c>
      <c r="O811">
        <v>0</v>
      </c>
      <c r="P811">
        <v>3.1339999999999999</v>
      </c>
      <c r="Q811">
        <v>3.5640000000000001</v>
      </c>
      <c r="R811">
        <v>0</v>
      </c>
      <c r="S811">
        <v>4</v>
      </c>
    </row>
    <row r="812" spans="14:19">
      <c r="N812">
        <v>811</v>
      </c>
      <c r="O812">
        <v>0</v>
      </c>
      <c r="P812">
        <v>2.62</v>
      </c>
      <c r="Q812">
        <v>4.0640000000000001</v>
      </c>
      <c r="R812">
        <v>0</v>
      </c>
      <c r="S812">
        <v>4</v>
      </c>
    </row>
    <row r="813" spans="14:19">
      <c r="N813">
        <v>812</v>
      </c>
      <c r="O813">
        <v>0</v>
      </c>
      <c r="P813">
        <v>2.9950000000000001</v>
      </c>
      <c r="Q813">
        <v>4.12</v>
      </c>
      <c r="R813">
        <v>0</v>
      </c>
      <c r="S813">
        <v>4</v>
      </c>
    </row>
    <row r="814" spans="14:19">
      <c r="N814">
        <v>813</v>
      </c>
      <c r="O814">
        <v>0</v>
      </c>
      <c r="P814">
        <v>4.05</v>
      </c>
      <c r="Q814">
        <v>3.7589999999999999</v>
      </c>
      <c r="R814">
        <v>0</v>
      </c>
      <c r="S814">
        <v>4</v>
      </c>
    </row>
    <row r="815" spans="14:19">
      <c r="N815">
        <v>814</v>
      </c>
      <c r="O815">
        <v>0</v>
      </c>
      <c r="P815">
        <v>4.3979999999999997</v>
      </c>
      <c r="Q815">
        <v>3.87</v>
      </c>
      <c r="R815">
        <v>0</v>
      </c>
      <c r="S815">
        <v>4</v>
      </c>
    </row>
    <row r="816" spans="14:19">
      <c r="N816">
        <v>815</v>
      </c>
      <c r="O816">
        <v>0</v>
      </c>
      <c r="P816">
        <v>5.0090000000000003</v>
      </c>
      <c r="Q816">
        <v>4.05</v>
      </c>
      <c r="R816">
        <v>0</v>
      </c>
      <c r="S816">
        <v>4</v>
      </c>
    </row>
    <row r="817" spans="14:19">
      <c r="N817">
        <v>816</v>
      </c>
      <c r="O817">
        <v>0</v>
      </c>
      <c r="P817">
        <v>5.37</v>
      </c>
      <c r="Q817">
        <v>3.9809999999999999</v>
      </c>
      <c r="R817">
        <v>0</v>
      </c>
      <c r="S817">
        <v>4</v>
      </c>
    </row>
    <row r="818" spans="14:19">
      <c r="N818">
        <v>817</v>
      </c>
      <c r="O818">
        <v>0</v>
      </c>
      <c r="P818">
        <v>6.0090000000000003</v>
      </c>
      <c r="Q818">
        <v>3.6480000000000001</v>
      </c>
      <c r="R818">
        <v>0</v>
      </c>
      <c r="S818">
        <v>4</v>
      </c>
    </row>
    <row r="819" spans="14:19">
      <c r="N819">
        <v>818</v>
      </c>
      <c r="O819">
        <v>0</v>
      </c>
      <c r="P819">
        <v>7.7030000000000003</v>
      </c>
      <c r="Q819">
        <v>3.3839999999999999</v>
      </c>
      <c r="R819">
        <v>0</v>
      </c>
      <c r="S819">
        <v>4</v>
      </c>
    </row>
    <row r="820" spans="14:19">
      <c r="N820">
        <v>819</v>
      </c>
      <c r="O820">
        <v>0</v>
      </c>
      <c r="P820">
        <v>8.1340000000000003</v>
      </c>
      <c r="Q820">
        <v>3.2170000000000001</v>
      </c>
      <c r="R820">
        <v>0</v>
      </c>
      <c r="S820">
        <v>4</v>
      </c>
    </row>
    <row r="821" spans="14:19">
      <c r="N821">
        <v>820</v>
      </c>
      <c r="O821">
        <v>0</v>
      </c>
      <c r="P821">
        <v>5.8979999999999997</v>
      </c>
      <c r="Q821">
        <v>4.3419999999999996</v>
      </c>
      <c r="R821">
        <v>0</v>
      </c>
      <c r="S821">
        <v>4</v>
      </c>
    </row>
    <row r="822" spans="14:19">
      <c r="N822">
        <v>821</v>
      </c>
      <c r="O822">
        <v>0</v>
      </c>
      <c r="P822">
        <v>6.3280000000000003</v>
      </c>
      <c r="Q822">
        <v>4.4109999999999996</v>
      </c>
      <c r="R822">
        <v>0</v>
      </c>
      <c r="S822">
        <v>4</v>
      </c>
    </row>
    <row r="823" spans="14:19">
      <c r="N823">
        <v>822</v>
      </c>
      <c r="O823">
        <v>0</v>
      </c>
      <c r="P823">
        <v>5.6340000000000003</v>
      </c>
      <c r="Q823">
        <v>4.3979999999999997</v>
      </c>
      <c r="R823">
        <v>0</v>
      </c>
      <c r="S823">
        <v>4</v>
      </c>
    </row>
    <row r="824" spans="14:19">
      <c r="N824">
        <v>823</v>
      </c>
      <c r="O824">
        <v>0</v>
      </c>
      <c r="P824">
        <v>5.5090000000000003</v>
      </c>
      <c r="Q824">
        <v>4.5640000000000001</v>
      </c>
      <c r="R824">
        <v>0</v>
      </c>
      <c r="S824">
        <v>4</v>
      </c>
    </row>
    <row r="825" spans="14:19">
      <c r="N825">
        <v>824</v>
      </c>
      <c r="O825">
        <v>0</v>
      </c>
      <c r="P825">
        <v>3.5640000000000001</v>
      </c>
      <c r="Q825">
        <v>4.6479999999999997</v>
      </c>
      <c r="R825">
        <v>0</v>
      </c>
      <c r="S825">
        <v>4</v>
      </c>
    </row>
    <row r="826" spans="14:19">
      <c r="N826">
        <v>825</v>
      </c>
      <c r="O826">
        <v>0</v>
      </c>
      <c r="P826">
        <v>3.1749999999999998</v>
      </c>
      <c r="Q826">
        <v>4.5780000000000003</v>
      </c>
      <c r="R826">
        <v>0</v>
      </c>
      <c r="S826">
        <v>4</v>
      </c>
    </row>
    <row r="827" spans="14:19">
      <c r="N827">
        <v>826</v>
      </c>
      <c r="O827">
        <v>0</v>
      </c>
      <c r="P827">
        <v>1.3420000000000001</v>
      </c>
      <c r="Q827">
        <v>6.5090000000000003</v>
      </c>
      <c r="R827">
        <v>0</v>
      </c>
      <c r="S827">
        <v>4</v>
      </c>
    </row>
    <row r="828" spans="14:19">
      <c r="N828">
        <v>827</v>
      </c>
      <c r="O828">
        <v>0</v>
      </c>
      <c r="P828">
        <v>0.87</v>
      </c>
      <c r="Q828">
        <v>7.8559999999999999</v>
      </c>
      <c r="R828">
        <v>0</v>
      </c>
      <c r="S828">
        <v>4</v>
      </c>
    </row>
    <row r="829" spans="14:19">
      <c r="N829">
        <v>828</v>
      </c>
      <c r="O829">
        <v>0</v>
      </c>
      <c r="P829">
        <v>1.8839999999999999</v>
      </c>
      <c r="Q829">
        <v>7.6609999999999996</v>
      </c>
      <c r="R829">
        <v>0</v>
      </c>
      <c r="S829">
        <v>4</v>
      </c>
    </row>
    <row r="830" spans="14:19">
      <c r="N830">
        <v>829</v>
      </c>
      <c r="O830">
        <v>0</v>
      </c>
      <c r="P830">
        <v>2.5920000000000001</v>
      </c>
      <c r="Q830">
        <v>7.2030000000000003</v>
      </c>
      <c r="R830">
        <v>0</v>
      </c>
      <c r="S830">
        <v>4</v>
      </c>
    </row>
    <row r="831" spans="14:19">
      <c r="N831">
        <v>830</v>
      </c>
      <c r="O831">
        <v>0</v>
      </c>
      <c r="P831">
        <v>3.4249999999999998</v>
      </c>
      <c r="Q831">
        <v>6.9530000000000003</v>
      </c>
      <c r="R831">
        <v>0</v>
      </c>
      <c r="S831">
        <v>4</v>
      </c>
    </row>
    <row r="832" spans="14:19">
      <c r="N832">
        <v>831</v>
      </c>
      <c r="O832">
        <v>0</v>
      </c>
      <c r="P832">
        <v>3.7450000000000001</v>
      </c>
      <c r="Q832">
        <v>6.6340000000000003</v>
      </c>
      <c r="R832">
        <v>0</v>
      </c>
      <c r="S832">
        <v>4</v>
      </c>
    </row>
    <row r="833" spans="14:19">
      <c r="N833">
        <v>832</v>
      </c>
      <c r="O833">
        <v>0</v>
      </c>
      <c r="P833">
        <v>4.6890000000000001</v>
      </c>
      <c r="Q833">
        <v>6.4390000000000001</v>
      </c>
      <c r="R833">
        <v>0</v>
      </c>
      <c r="S833">
        <v>4</v>
      </c>
    </row>
    <row r="834" spans="14:19">
      <c r="N834">
        <v>833</v>
      </c>
      <c r="O834">
        <v>0</v>
      </c>
      <c r="P834">
        <v>5.0780000000000003</v>
      </c>
      <c r="Q834">
        <v>6.12</v>
      </c>
      <c r="R834">
        <v>0</v>
      </c>
      <c r="S834">
        <v>4</v>
      </c>
    </row>
    <row r="835" spans="14:19">
      <c r="N835">
        <v>834</v>
      </c>
      <c r="O835">
        <v>0</v>
      </c>
      <c r="P835">
        <v>5.3559999999999999</v>
      </c>
      <c r="Q835">
        <v>5.8559999999999999</v>
      </c>
      <c r="R835">
        <v>0</v>
      </c>
      <c r="S835">
        <v>4</v>
      </c>
    </row>
    <row r="836" spans="14:19">
      <c r="N836">
        <v>835</v>
      </c>
      <c r="O836">
        <v>0</v>
      </c>
      <c r="P836">
        <v>6.2309999999999999</v>
      </c>
      <c r="Q836">
        <v>5.7729999999999997</v>
      </c>
      <c r="R836">
        <v>0</v>
      </c>
      <c r="S836">
        <v>4</v>
      </c>
    </row>
    <row r="837" spans="14:19">
      <c r="N837">
        <v>836</v>
      </c>
      <c r="O837">
        <v>0</v>
      </c>
      <c r="P837">
        <v>6.5640000000000001</v>
      </c>
      <c r="Q837">
        <v>6.0359999999999996</v>
      </c>
      <c r="R837">
        <v>0</v>
      </c>
      <c r="S837">
        <v>4</v>
      </c>
    </row>
    <row r="838" spans="14:19">
      <c r="N838">
        <v>837</v>
      </c>
      <c r="O838">
        <v>0</v>
      </c>
      <c r="P838">
        <v>5.9390000000000001</v>
      </c>
      <c r="Q838">
        <v>6.12</v>
      </c>
      <c r="R838">
        <v>0</v>
      </c>
      <c r="S838">
        <v>4</v>
      </c>
    </row>
    <row r="839" spans="14:19">
      <c r="N839">
        <v>838</v>
      </c>
      <c r="O839">
        <v>0</v>
      </c>
      <c r="P839">
        <v>5.9249999999999998</v>
      </c>
      <c r="Q839">
        <v>5.9530000000000003</v>
      </c>
      <c r="R839">
        <v>0</v>
      </c>
      <c r="S839">
        <v>4</v>
      </c>
    </row>
    <row r="840" spans="14:19">
      <c r="N840">
        <v>839</v>
      </c>
      <c r="O840">
        <v>0</v>
      </c>
      <c r="P840">
        <v>5.4950000000000001</v>
      </c>
      <c r="Q840">
        <v>6.5780000000000003</v>
      </c>
      <c r="R840">
        <v>0</v>
      </c>
      <c r="S840">
        <v>4</v>
      </c>
    </row>
    <row r="841" spans="14:19">
      <c r="N841">
        <v>840</v>
      </c>
      <c r="O841">
        <v>0</v>
      </c>
      <c r="P841">
        <v>5.5359999999999996</v>
      </c>
      <c r="Q841">
        <v>6.8</v>
      </c>
      <c r="R841">
        <v>0</v>
      </c>
      <c r="S841">
        <v>4</v>
      </c>
    </row>
    <row r="842" spans="14:19">
      <c r="N842">
        <v>841</v>
      </c>
      <c r="O842">
        <v>0</v>
      </c>
      <c r="P842">
        <v>4.6609999999999996</v>
      </c>
      <c r="Q842">
        <v>6.8559999999999999</v>
      </c>
      <c r="R842">
        <v>0</v>
      </c>
      <c r="S842">
        <v>4</v>
      </c>
    </row>
    <row r="843" spans="14:19">
      <c r="N843">
        <v>842</v>
      </c>
      <c r="O843">
        <v>0</v>
      </c>
      <c r="P843">
        <v>4.3280000000000003</v>
      </c>
      <c r="Q843">
        <v>7.0640000000000001</v>
      </c>
      <c r="R843">
        <v>0</v>
      </c>
      <c r="S843">
        <v>4</v>
      </c>
    </row>
    <row r="844" spans="14:19">
      <c r="N844">
        <v>843</v>
      </c>
      <c r="O844">
        <v>0</v>
      </c>
      <c r="P844">
        <v>4.12</v>
      </c>
      <c r="Q844">
        <v>7.2859999999999996</v>
      </c>
      <c r="R844">
        <v>0</v>
      </c>
      <c r="S844">
        <v>4</v>
      </c>
    </row>
    <row r="845" spans="14:19">
      <c r="N845">
        <v>844</v>
      </c>
      <c r="O845">
        <v>0</v>
      </c>
      <c r="P845">
        <v>3.7170000000000001</v>
      </c>
      <c r="Q845">
        <v>7.3979999999999997</v>
      </c>
      <c r="R845">
        <v>0</v>
      </c>
      <c r="S845">
        <v>4</v>
      </c>
    </row>
    <row r="846" spans="14:19">
      <c r="N846">
        <v>845</v>
      </c>
      <c r="O846">
        <v>0</v>
      </c>
      <c r="P846">
        <v>3.661</v>
      </c>
      <c r="Q846">
        <v>7.5780000000000003</v>
      </c>
      <c r="R846">
        <v>0</v>
      </c>
      <c r="S846">
        <v>4</v>
      </c>
    </row>
    <row r="847" spans="14:19">
      <c r="N847">
        <v>846</v>
      </c>
      <c r="O847">
        <v>0</v>
      </c>
      <c r="P847">
        <v>3.3</v>
      </c>
      <c r="Q847">
        <v>7.4809999999999999</v>
      </c>
      <c r="R847">
        <v>0</v>
      </c>
      <c r="S847">
        <v>4</v>
      </c>
    </row>
    <row r="848" spans="14:19">
      <c r="N848">
        <v>847</v>
      </c>
      <c r="O848">
        <v>0</v>
      </c>
      <c r="P848">
        <v>3.2450000000000001</v>
      </c>
      <c r="Q848">
        <v>7.9249999999999998</v>
      </c>
      <c r="R848">
        <v>0</v>
      </c>
      <c r="S848">
        <v>4</v>
      </c>
    </row>
    <row r="849" spans="14:19">
      <c r="N849">
        <v>848</v>
      </c>
      <c r="O849">
        <v>0</v>
      </c>
      <c r="P849">
        <v>3.9809999999999999</v>
      </c>
      <c r="Q849">
        <v>8.0229999999999997</v>
      </c>
      <c r="R849">
        <v>0</v>
      </c>
      <c r="S849">
        <v>4</v>
      </c>
    </row>
    <row r="850" spans="14:19">
      <c r="N850">
        <v>849</v>
      </c>
      <c r="O850">
        <v>0</v>
      </c>
      <c r="P850">
        <v>4.3280000000000003</v>
      </c>
      <c r="Q850">
        <v>7.9669999999999996</v>
      </c>
      <c r="R850">
        <v>0</v>
      </c>
      <c r="S850">
        <v>4</v>
      </c>
    </row>
    <row r="851" spans="14:19">
      <c r="N851">
        <v>850</v>
      </c>
      <c r="O851">
        <v>0</v>
      </c>
      <c r="P851">
        <v>4.8419999999999996</v>
      </c>
      <c r="Q851">
        <v>7.8979999999999997</v>
      </c>
      <c r="R851">
        <v>0</v>
      </c>
      <c r="S851">
        <v>4</v>
      </c>
    </row>
    <row r="852" spans="14:19">
      <c r="N852">
        <v>851</v>
      </c>
      <c r="O852">
        <v>0</v>
      </c>
      <c r="P852">
        <v>5.1059999999999999</v>
      </c>
      <c r="Q852">
        <v>7.5780000000000003</v>
      </c>
      <c r="R852">
        <v>0</v>
      </c>
      <c r="S852">
        <v>4</v>
      </c>
    </row>
    <row r="853" spans="14:19">
      <c r="N853">
        <v>852</v>
      </c>
      <c r="O853">
        <v>0</v>
      </c>
      <c r="P853">
        <v>5.3840000000000003</v>
      </c>
      <c r="Q853">
        <v>7.37</v>
      </c>
      <c r="R853">
        <v>0</v>
      </c>
      <c r="S853">
        <v>4</v>
      </c>
    </row>
    <row r="854" spans="14:19">
      <c r="N854">
        <v>853</v>
      </c>
      <c r="O854">
        <v>0</v>
      </c>
      <c r="P854">
        <v>5.6890000000000001</v>
      </c>
      <c r="Q854">
        <v>7.8140000000000001</v>
      </c>
      <c r="R854">
        <v>0</v>
      </c>
      <c r="S854">
        <v>4</v>
      </c>
    </row>
    <row r="855" spans="14:19">
      <c r="N855">
        <v>854</v>
      </c>
      <c r="O855">
        <v>0</v>
      </c>
      <c r="P855">
        <v>6.1890000000000001</v>
      </c>
      <c r="Q855">
        <v>8.3000000000000007</v>
      </c>
      <c r="R855">
        <v>0</v>
      </c>
      <c r="S855">
        <v>4</v>
      </c>
    </row>
    <row r="856" spans="14:19">
      <c r="N856">
        <v>855</v>
      </c>
      <c r="O856">
        <v>0</v>
      </c>
      <c r="P856">
        <v>6.1059999999999999</v>
      </c>
      <c r="Q856">
        <v>9.0090000000000003</v>
      </c>
      <c r="R856">
        <v>0</v>
      </c>
      <c r="S856">
        <v>4</v>
      </c>
    </row>
    <row r="857" spans="14:19">
      <c r="N857">
        <v>856</v>
      </c>
      <c r="O857">
        <v>0</v>
      </c>
      <c r="P857">
        <v>5.7169999999999996</v>
      </c>
      <c r="Q857">
        <v>9.2729999999999997</v>
      </c>
      <c r="R857">
        <v>0</v>
      </c>
      <c r="S857">
        <v>4</v>
      </c>
    </row>
    <row r="858" spans="14:19">
      <c r="N858">
        <v>857</v>
      </c>
      <c r="O858">
        <v>0</v>
      </c>
      <c r="P858">
        <v>5.2729999999999997</v>
      </c>
      <c r="Q858">
        <v>9.4529999999999994</v>
      </c>
      <c r="R858">
        <v>0</v>
      </c>
      <c r="S858">
        <v>4</v>
      </c>
    </row>
    <row r="859" spans="14:19">
      <c r="N859">
        <v>858</v>
      </c>
      <c r="O859">
        <v>0</v>
      </c>
      <c r="P859">
        <v>4.87</v>
      </c>
      <c r="Q859">
        <v>9.4949999999999992</v>
      </c>
      <c r="R859">
        <v>0</v>
      </c>
      <c r="S859">
        <v>4</v>
      </c>
    </row>
    <row r="860" spans="14:19">
      <c r="N860">
        <v>859</v>
      </c>
      <c r="O860">
        <v>0</v>
      </c>
      <c r="P860">
        <v>4.4109999999999996</v>
      </c>
      <c r="Q860">
        <v>9.7170000000000005</v>
      </c>
      <c r="R860">
        <v>0</v>
      </c>
      <c r="S860">
        <v>4</v>
      </c>
    </row>
    <row r="861" spans="14:19">
      <c r="N861">
        <v>860</v>
      </c>
      <c r="O861">
        <v>0</v>
      </c>
      <c r="P861">
        <v>4.3419999999999996</v>
      </c>
      <c r="Q861">
        <v>9.4809999999999999</v>
      </c>
      <c r="R861">
        <v>0</v>
      </c>
      <c r="S861">
        <v>4</v>
      </c>
    </row>
    <row r="862" spans="14:19">
      <c r="N862">
        <v>861</v>
      </c>
      <c r="O862">
        <v>0</v>
      </c>
      <c r="P862">
        <v>3.6890000000000001</v>
      </c>
      <c r="Q862">
        <v>9.2449999999999992</v>
      </c>
      <c r="R862">
        <v>0</v>
      </c>
      <c r="S862">
        <v>4</v>
      </c>
    </row>
    <row r="863" spans="14:19">
      <c r="N863">
        <v>862</v>
      </c>
      <c r="O863">
        <v>0</v>
      </c>
      <c r="P863">
        <v>3.411</v>
      </c>
      <c r="Q863">
        <v>8.9809999999999999</v>
      </c>
      <c r="R863">
        <v>0</v>
      </c>
      <c r="S863">
        <v>4</v>
      </c>
    </row>
    <row r="864" spans="14:19">
      <c r="N864">
        <v>863</v>
      </c>
      <c r="O864">
        <v>0</v>
      </c>
      <c r="P864">
        <v>5.0780000000000003</v>
      </c>
      <c r="Q864">
        <v>10.050000000000001</v>
      </c>
      <c r="R864">
        <v>0</v>
      </c>
      <c r="S864">
        <v>4</v>
      </c>
    </row>
    <row r="865" spans="14:19">
      <c r="N865">
        <v>864</v>
      </c>
      <c r="O865">
        <v>0</v>
      </c>
      <c r="P865">
        <v>5.37</v>
      </c>
      <c r="Q865">
        <v>10.119999999999999</v>
      </c>
      <c r="R865">
        <v>0</v>
      </c>
      <c r="S865">
        <v>4</v>
      </c>
    </row>
    <row r="866" spans="14:19">
      <c r="N866">
        <v>865</v>
      </c>
      <c r="O866">
        <v>0</v>
      </c>
      <c r="P866">
        <v>5.6609999999999996</v>
      </c>
      <c r="Q866">
        <v>10.202999999999999</v>
      </c>
      <c r="R866">
        <v>0</v>
      </c>
      <c r="S866">
        <v>4</v>
      </c>
    </row>
    <row r="867" spans="14:19">
      <c r="N867">
        <v>866</v>
      </c>
      <c r="O867">
        <v>0</v>
      </c>
      <c r="P867">
        <v>6.1059999999999999</v>
      </c>
      <c r="Q867">
        <v>9.6479999999999997</v>
      </c>
      <c r="R867">
        <v>0</v>
      </c>
      <c r="S867">
        <v>4</v>
      </c>
    </row>
    <row r="868" spans="14:19">
      <c r="N868">
        <v>867</v>
      </c>
      <c r="O868">
        <v>0</v>
      </c>
      <c r="P868">
        <v>7.12</v>
      </c>
      <c r="Q868">
        <v>9.3140000000000001</v>
      </c>
      <c r="R868">
        <v>0</v>
      </c>
      <c r="S868">
        <v>4</v>
      </c>
    </row>
    <row r="869" spans="14:19">
      <c r="N869">
        <v>868</v>
      </c>
      <c r="O869">
        <v>0</v>
      </c>
      <c r="P869">
        <v>7.3</v>
      </c>
      <c r="Q869">
        <v>9.3979999999999997</v>
      </c>
      <c r="R869">
        <v>0</v>
      </c>
      <c r="S869">
        <v>4</v>
      </c>
    </row>
    <row r="870" spans="14:19">
      <c r="N870">
        <v>869</v>
      </c>
      <c r="O870">
        <v>0</v>
      </c>
      <c r="P870">
        <v>7.7859999999999996</v>
      </c>
      <c r="Q870">
        <v>9.5090000000000003</v>
      </c>
      <c r="R870">
        <v>0</v>
      </c>
      <c r="S870">
        <v>4</v>
      </c>
    </row>
    <row r="871" spans="14:19">
      <c r="N871">
        <v>870</v>
      </c>
      <c r="O871">
        <v>0</v>
      </c>
      <c r="P871">
        <v>8.2590000000000003</v>
      </c>
      <c r="Q871">
        <v>9.7029999999999994</v>
      </c>
      <c r="R871">
        <v>0</v>
      </c>
      <c r="S871">
        <v>4</v>
      </c>
    </row>
    <row r="872" spans="14:19">
      <c r="N872">
        <v>871</v>
      </c>
      <c r="O872">
        <v>0</v>
      </c>
      <c r="P872">
        <v>8.0500000000000007</v>
      </c>
      <c r="Q872">
        <v>9.9390000000000001</v>
      </c>
      <c r="R872">
        <v>0</v>
      </c>
      <c r="S872">
        <v>4</v>
      </c>
    </row>
    <row r="873" spans="14:19">
      <c r="N873">
        <v>872</v>
      </c>
      <c r="O873">
        <v>0</v>
      </c>
      <c r="P873">
        <v>7.5919999999999996</v>
      </c>
      <c r="Q873">
        <v>9.9949999999999992</v>
      </c>
      <c r="R873">
        <v>0</v>
      </c>
      <c r="S873">
        <v>4</v>
      </c>
    </row>
    <row r="874" spans="14:19">
      <c r="N874">
        <v>873</v>
      </c>
      <c r="O874">
        <v>0</v>
      </c>
      <c r="P874">
        <v>7.0919999999999996</v>
      </c>
      <c r="Q874">
        <v>9.7859999999999996</v>
      </c>
      <c r="R874">
        <v>0</v>
      </c>
      <c r="S874">
        <v>4</v>
      </c>
    </row>
    <row r="875" spans="14:19">
      <c r="N875">
        <v>874</v>
      </c>
      <c r="O875">
        <v>0</v>
      </c>
      <c r="P875">
        <v>6.9669999999999996</v>
      </c>
      <c r="Q875">
        <v>10.189</v>
      </c>
      <c r="R875">
        <v>0</v>
      </c>
      <c r="S875">
        <v>4</v>
      </c>
    </row>
    <row r="876" spans="14:19">
      <c r="N876">
        <v>875</v>
      </c>
      <c r="O876">
        <v>0</v>
      </c>
      <c r="P876">
        <v>7.1749999999999998</v>
      </c>
      <c r="Q876">
        <v>10.327999999999999</v>
      </c>
      <c r="R876">
        <v>0</v>
      </c>
      <c r="S876">
        <v>4</v>
      </c>
    </row>
    <row r="877" spans="14:19">
      <c r="N877">
        <v>876</v>
      </c>
      <c r="O877">
        <v>0</v>
      </c>
      <c r="P877">
        <v>7.7729999999999997</v>
      </c>
      <c r="Q877">
        <v>10.37</v>
      </c>
      <c r="R877">
        <v>0</v>
      </c>
      <c r="S877">
        <v>4</v>
      </c>
    </row>
    <row r="878" spans="14:19">
      <c r="N878">
        <v>877</v>
      </c>
      <c r="O878">
        <v>0</v>
      </c>
      <c r="P878">
        <v>7.4669999999999996</v>
      </c>
      <c r="Q878">
        <v>10.648</v>
      </c>
      <c r="R878">
        <v>0</v>
      </c>
      <c r="S878">
        <v>4</v>
      </c>
    </row>
    <row r="879" spans="14:19">
      <c r="N879">
        <v>878</v>
      </c>
      <c r="O879">
        <v>0</v>
      </c>
      <c r="P879">
        <v>7.0919999999999996</v>
      </c>
      <c r="Q879">
        <v>10.702999999999999</v>
      </c>
      <c r="R879">
        <v>0</v>
      </c>
      <c r="S879">
        <v>4</v>
      </c>
    </row>
    <row r="880" spans="14:19">
      <c r="N880">
        <v>879</v>
      </c>
      <c r="O880">
        <v>0</v>
      </c>
      <c r="P880">
        <v>8.0359999999999996</v>
      </c>
      <c r="Q880">
        <v>10.773</v>
      </c>
      <c r="R880">
        <v>0</v>
      </c>
      <c r="S880">
        <v>4</v>
      </c>
    </row>
    <row r="881" spans="14:19">
      <c r="N881">
        <v>880</v>
      </c>
      <c r="O881">
        <v>0</v>
      </c>
      <c r="P881">
        <v>8.9529999999999994</v>
      </c>
      <c r="Q881">
        <v>10.661</v>
      </c>
      <c r="R881">
        <v>0</v>
      </c>
      <c r="S881">
        <v>4</v>
      </c>
    </row>
    <row r="882" spans="14:19">
      <c r="N882">
        <v>881</v>
      </c>
      <c r="O882">
        <v>0</v>
      </c>
      <c r="P882">
        <v>9.2170000000000005</v>
      </c>
      <c r="Q882">
        <v>10.689</v>
      </c>
      <c r="R882">
        <v>0</v>
      </c>
      <c r="S882">
        <v>4</v>
      </c>
    </row>
    <row r="883" spans="14:19">
      <c r="N883">
        <v>882</v>
      </c>
      <c r="O883">
        <v>0</v>
      </c>
      <c r="P883">
        <v>8.8559999999999999</v>
      </c>
      <c r="Q883">
        <v>9.8000000000000007</v>
      </c>
      <c r="R883">
        <v>0</v>
      </c>
      <c r="S883">
        <v>4</v>
      </c>
    </row>
    <row r="884" spans="14:19">
      <c r="N884">
        <v>883</v>
      </c>
      <c r="O884">
        <v>0</v>
      </c>
      <c r="P884">
        <v>8.8840000000000003</v>
      </c>
      <c r="Q884">
        <v>9.6199999999999992</v>
      </c>
      <c r="R884">
        <v>0</v>
      </c>
      <c r="S884">
        <v>4</v>
      </c>
    </row>
    <row r="885" spans="14:19">
      <c r="N885">
        <v>884</v>
      </c>
      <c r="O885">
        <v>0</v>
      </c>
      <c r="P885">
        <v>9.2309999999999999</v>
      </c>
      <c r="Q885">
        <v>9.5779999999999994</v>
      </c>
      <c r="R885">
        <v>0</v>
      </c>
      <c r="S885">
        <v>4</v>
      </c>
    </row>
    <row r="886" spans="14:19">
      <c r="N886">
        <v>885</v>
      </c>
      <c r="O886">
        <v>0</v>
      </c>
      <c r="P886">
        <v>9.2859999999999996</v>
      </c>
      <c r="Q886">
        <v>9.8279999999999994</v>
      </c>
      <c r="R886">
        <v>0</v>
      </c>
      <c r="S886">
        <v>4</v>
      </c>
    </row>
    <row r="887" spans="14:19">
      <c r="N887">
        <v>886</v>
      </c>
      <c r="O887">
        <v>0</v>
      </c>
      <c r="P887">
        <v>9.6479999999999997</v>
      </c>
      <c r="Q887">
        <v>9.6890000000000001</v>
      </c>
      <c r="R887">
        <v>0</v>
      </c>
      <c r="S887">
        <v>4</v>
      </c>
    </row>
    <row r="888" spans="14:19">
      <c r="N888">
        <v>887</v>
      </c>
      <c r="O888">
        <v>0</v>
      </c>
      <c r="P888">
        <v>9.7309999999999999</v>
      </c>
      <c r="Q888">
        <v>9.9390000000000001</v>
      </c>
      <c r="R888">
        <v>0</v>
      </c>
      <c r="S888">
        <v>4</v>
      </c>
    </row>
    <row r="889" spans="14:19">
      <c r="N889">
        <v>888</v>
      </c>
      <c r="O889">
        <v>0</v>
      </c>
      <c r="P889">
        <v>10.244999999999999</v>
      </c>
      <c r="Q889">
        <v>9.8279999999999994</v>
      </c>
      <c r="R889">
        <v>0</v>
      </c>
      <c r="S889">
        <v>4</v>
      </c>
    </row>
    <row r="890" spans="14:19">
      <c r="N890">
        <v>889</v>
      </c>
      <c r="O890">
        <v>0</v>
      </c>
      <c r="P890">
        <v>10.3</v>
      </c>
      <c r="Q890">
        <v>9.5920000000000005</v>
      </c>
      <c r="R890">
        <v>0</v>
      </c>
      <c r="S890">
        <v>4</v>
      </c>
    </row>
    <row r="891" spans="14:19">
      <c r="N891">
        <v>890</v>
      </c>
      <c r="O891">
        <v>0</v>
      </c>
      <c r="P891">
        <v>10.744999999999999</v>
      </c>
      <c r="Q891">
        <v>9.5920000000000005</v>
      </c>
      <c r="R891">
        <v>0</v>
      </c>
      <c r="S891">
        <v>4</v>
      </c>
    </row>
    <row r="892" spans="14:19">
      <c r="N892">
        <v>891</v>
      </c>
      <c r="O892">
        <v>0</v>
      </c>
      <c r="P892">
        <v>10.967000000000001</v>
      </c>
      <c r="Q892">
        <v>9.6890000000000001</v>
      </c>
      <c r="R892">
        <v>0</v>
      </c>
      <c r="S892">
        <v>4</v>
      </c>
    </row>
    <row r="893" spans="14:19">
      <c r="N893">
        <v>892</v>
      </c>
      <c r="O893">
        <v>0</v>
      </c>
      <c r="P893">
        <v>11.37</v>
      </c>
      <c r="Q893">
        <v>9.6199999999999992</v>
      </c>
      <c r="R893">
        <v>0</v>
      </c>
      <c r="S893">
        <v>4</v>
      </c>
    </row>
    <row r="894" spans="14:19">
      <c r="N894">
        <v>893</v>
      </c>
      <c r="O894">
        <v>0</v>
      </c>
      <c r="P894">
        <v>9.8000000000000007</v>
      </c>
      <c r="Q894">
        <v>9.5500000000000007</v>
      </c>
      <c r="R894">
        <v>0</v>
      </c>
      <c r="S894">
        <v>4</v>
      </c>
    </row>
    <row r="895" spans="14:19">
      <c r="N895">
        <v>894</v>
      </c>
      <c r="O895">
        <v>0</v>
      </c>
      <c r="P895">
        <v>8.1479999999999997</v>
      </c>
      <c r="Q895">
        <v>9.3279999999999994</v>
      </c>
      <c r="R895">
        <v>0</v>
      </c>
      <c r="S895">
        <v>4</v>
      </c>
    </row>
    <row r="896" spans="14:19">
      <c r="N896">
        <v>895</v>
      </c>
      <c r="O896">
        <v>0</v>
      </c>
      <c r="P896">
        <v>7.4950000000000001</v>
      </c>
      <c r="Q896">
        <v>9.0229999999999997</v>
      </c>
      <c r="R896">
        <v>0</v>
      </c>
      <c r="S896">
        <v>4</v>
      </c>
    </row>
    <row r="897" spans="14:19">
      <c r="N897">
        <v>896</v>
      </c>
      <c r="O897">
        <v>0</v>
      </c>
      <c r="P897">
        <v>6.9390000000000001</v>
      </c>
      <c r="Q897">
        <v>8.8140000000000001</v>
      </c>
      <c r="R897">
        <v>0</v>
      </c>
      <c r="S897">
        <v>4</v>
      </c>
    </row>
    <row r="898" spans="14:19">
      <c r="N898">
        <v>897</v>
      </c>
      <c r="O898">
        <v>0</v>
      </c>
      <c r="P898">
        <v>6.7309999999999999</v>
      </c>
      <c r="Q898">
        <v>8.5640000000000001</v>
      </c>
      <c r="R898">
        <v>0</v>
      </c>
      <c r="S898">
        <v>4</v>
      </c>
    </row>
    <row r="899" spans="14:19">
      <c r="N899">
        <v>898</v>
      </c>
      <c r="O899">
        <v>0</v>
      </c>
      <c r="P899">
        <v>12.231</v>
      </c>
      <c r="Q899">
        <v>9.7590000000000003</v>
      </c>
      <c r="R899">
        <v>0</v>
      </c>
      <c r="S899">
        <v>4</v>
      </c>
    </row>
    <row r="900" spans="14:19">
      <c r="N900">
        <v>899</v>
      </c>
      <c r="O900">
        <v>0</v>
      </c>
      <c r="P900">
        <v>13.161</v>
      </c>
      <c r="Q900">
        <v>9.8000000000000007</v>
      </c>
      <c r="R900">
        <v>0</v>
      </c>
      <c r="S900">
        <v>4</v>
      </c>
    </row>
    <row r="901" spans="14:19">
      <c r="N901">
        <v>900</v>
      </c>
      <c r="O901">
        <v>0</v>
      </c>
      <c r="P901">
        <v>13.481</v>
      </c>
      <c r="Q901">
        <v>9.9670000000000005</v>
      </c>
      <c r="R901">
        <v>0</v>
      </c>
      <c r="S901">
        <v>4</v>
      </c>
    </row>
    <row r="902" spans="14:19">
      <c r="N902">
        <v>901</v>
      </c>
      <c r="O902">
        <v>0</v>
      </c>
      <c r="P902">
        <v>14.648</v>
      </c>
      <c r="Q902">
        <v>9.9250000000000007</v>
      </c>
      <c r="R902">
        <v>0</v>
      </c>
      <c r="S902">
        <v>4</v>
      </c>
    </row>
    <row r="903" spans="14:19">
      <c r="N903">
        <v>902</v>
      </c>
      <c r="O903">
        <v>0</v>
      </c>
      <c r="P903">
        <v>15.175000000000001</v>
      </c>
      <c r="Q903">
        <v>10.092000000000001</v>
      </c>
      <c r="R903">
        <v>0</v>
      </c>
      <c r="S903">
        <v>4</v>
      </c>
    </row>
    <row r="904" spans="14:19">
      <c r="N904">
        <v>903</v>
      </c>
      <c r="O904">
        <v>0</v>
      </c>
      <c r="P904">
        <v>15.244999999999999</v>
      </c>
      <c r="Q904">
        <v>10.217000000000001</v>
      </c>
      <c r="R904">
        <v>0</v>
      </c>
      <c r="S904">
        <v>4</v>
      </c>
    </row>
    <row r="905" spans="14:19">
      <c r="N905">
        <v>904</v>
      </c>
      <c r="O905">
        <v>0</v>
      </c>
      <c r="P905">
        <v>16.202999999999999</v>
      </c>
      <c r="Q905">
        <v>10.161</v>
      </c>
      <c r="R905">
        <v>0</v>
      </c>
      <c r="S905">
        <v>4</v>
      </c>
    </row>
    <row r="906" spans="14:19">
      <c r="N906">
        <v>905</v>
      </c>
      <c r="O906">
        <v>0</v>
      </c>
      <c r="P906">
        <v>16.286000000000001</v>
      </c>
      <c r="Q906">
        <v>10.452999999999999</v>
      </c>
      <c r="R906">
        <v>0</v>
      </c>
      <c r="S906">
        <v>4</v>
      </c>
    </row>
    <row r="907" spans="14:19">
      <c r="N907">
        <v>906</v>
      </c>
      <c r="O907">
        <v>0</v>
      </c>
      <c r="P907">
        <v>16.161000000000001</v>
      </c>
      <c r="Q907">
        <v>10.606</v>
      </c>
      <c r="R907">
        <v>0</v>
      </c>
      <c r="S907">
        <v>4</v>
      </c>
    </row>
    <row r="908" spans="14:19">
      <c r="N908">
        <v>907</v>
      </c>
      <c r="O908">
        <v>0</v>
      </c>
      <c r="P908">
        <v>16.966999999999999</v>
      </c>
      <c r="Q908">
        <v>10.467000000000001</v>
      </c>
      <c r="R908">
        <v>0</v>
      </c>
      <c r="S908">
        <v>4</v>
      </c>
    </row>
    <row r="909" spans="14:19">
      <c r="N909">
        <v>908</v>
      </c>
      <c r="O909">
        <v>0</v>
      </c>
      <c r="P909">
        <v>17.398</v>
      </c>
      <c r="Q909">
        <v>10.467000000000001</v>
      </c>
      <c r="R909">
        <v>0</v>
      </c>
      <c r="S909">
        <v>4</v>
      </c>
    </row>
    <row r="910" spans="14:19">
      <c r="N910">
        <v>909</v>
      </c>
      <c r="O910">
        <v>0</v>
      </c>
      <c r="P910">
        <v>19.341999999999999</v>
      </c>
      <c r="Q910">
        <v>10.731</v>
      </c>
      <c r="R910">
        <v>0</v>
      </c>
      <c r="S910">
        <v>4</v>
      </c>
    </row>
    <row r="911" spans="14:19">
      <c r="N911">
        <v>910</v>
      </c>
      <c r="O911">
        <v>0</v>
      </c>
      <c r="P911">
        <v>19.731000000000002</v>
      </c>
      <c r="Q911">
        <v>11.439</v>
      </c>
      <c r="R911">
        <v>0</v>
      </c>
      <c r="S911">
        <v>4</v>
      </c>
    </row>
    <row r="912" spans="14:19">
      <c r="N912">
        <v>911</v>
      </c>
      <c r="O912">
        <v>0</v>
      </c>
      <c r="P912">
        <v>19.634</v>
      </c>
      <c r="Q912">
        <v>11.827999999999999</v>
      </c>
      <c r="R912">
        <v>0</v>
      </c>
      <c r="S912">
        <v>4</v>
      </c>
    </row>
    <row r="913" spans="14:19">
      <c r="N913">
        <v>912</v>
      </c>
      <c r="O913">
        <v>0</v>
      </c>
      <c r="P913">
        <v>19.216999999999999</v>
      </c>
      <c r="Q913">
        <v>11.494999999999999</v>
      </c>
      <c r="R913">
        <v>0</v>
      </c>
      <c r="S913">
        <v>4</v>
      </c>
    </row>
    <row r="914" spans="14:19">
      <c r="N914">
        <v>913</v>
      </c>
      <c r="O914">
        <v>0</v>
      </c>
      <c r="P914">
        <v>19.314</v>
      </c>
      <c r="Q914">
        <v>11.3</v>
      </c>
      <c r="R914">
        <v>0</v>
      </c>
      <c r="S914">
        <v>4</v>
      </c>
    </row>
    <row r="915" spans="14:19">
      <c r="N915">
        <v>914</v>
      </c>
      <c r="O915">
        <v>0</v>
      </c>
      <c r="P915">
        <v>19.509</v>
      </c>
      <c r="Q915">
        <v>11.148</v>
      </c>
      <c r="R915">
        <v>0</v>
      </c>
      <c r="S915">
        <v>4</v>
      </c>
    </row>
    <row r="916" spans="14:19">
      <c r="N916">
        <v>915</v>
      </c>
      <c r="O916">
        <v>0</v>
      </c>
      <c r="P916">
        <v>19.036000000000001</v>
      </c>
      <c r="Q916">
        <v>10.967000000000001</v>
      </c>
      <c r="R916">
        <v>0</v>
      </c>
      <c r="S916">
        <v>4</v>
      </c>
    </row>
    <row r="917" spans="14:19">
      <c r="N917">
        <v>916</v>
      </c>
      <c r="O917">
        <v>0</v>
      </c>
      <c r="P917">
        <v>19.8</v>
      </c>
      <c r="Q917">
        <v>10.911</v>
      </c>
      <c r="R917">
        <v>0</v>
      </c>
      <c r="S917">
        <v>4</v>
      </c>
    </row>
    <row r="918" spans="14:19">
      <c r="N918">
        <v>917</v>
      </c>
      <c r="O918">
        <v>0</v>
      </c>
      <c r="P918">
        <v>18.452999999999999</v>
      </c>
      <c r="Q918">
        <v>11.023</v>
      </c>
      <c r="R918">
        <v>0</v>
      </c>
      <c r="S918">
        <v>4</v>
      </c>
    </row>
    <row r="919" spans="14:19">
      <c r="N919">
        <v>918</v>
      </c>
      <c r="O919">
        <v>0</v>
      </c>
      <c r="P919">
        <v>18.202999999999999</v>
      </c>
      <c r="Q919">
        <v>10.994999999999999</v>
      </c>
      <c r="R919">
        <v>0</v>
      </c>
      <c r="S919">
        <v>4</v>
      </c>
    </row>
    <row r="920" spans="14:19">
      <c r="N920">
        <v>919</v>
      </c>
      <c r="O920">
        <v>0</v>
      </c>
      <c r="P920">
        <v>17.8</v>
      </c>
      <c r="Q920">
        <v>11.12</v>
      </c>
      <c r="R920">
        <v>0</v>
      </c>
      <c r="S920">
        <v>4</v>
      </c>
    </row>
    <row r="921" spans="14:19">
      <c r="N921">
        <v>920</v>
      </c>
      <c r="O921">
        <v>0</v>
      </c>
      <c r="P921">
        <v>18.327999999999999</v>
      </c>
      <c r="Q921">
        <v>11.231</v>
      </c>
      <c r="R921">
        <v>0</v>
      </c>
      <c r="S921">
        <v>4</v>
      </c>
    </row>
    <row r="922" spans="14:19">
      <c r="N922">
        <v>921</v>
      </c>
      <c r="O922">
        <v>0</v>
      </c>
      <c r="P922">
        <v>17.216999999999999</v>
      </c>
      <c r="Q922">
        <v>11.12</v>
      </c>
      <c r="R922">
        <v>0</v>
      </c>
      <c r="S922">
        <v>4</v>
      </c>
    </row>
    <row r="923" spans="14:19">
      <c r="N923">
        <v>922</v>
      </c>
      <c r="O923">
        <v>0</v>
      </c>
      <c r="P923">
        <v>16.648</v>
      </c>
      <c r="Q923">
        <v>10.952999999999999</v>
      </c>
      <c r="R923">
        <v>0</v>
      </c>
      <c r="S923">
        <v>4</v>
      </c>
    </row>
    <row r="924" spans="14:19">
      <c r="N924">
        <v>923</v>
      </c>
      <c r="O924">
        <v>0</v>
      </c>
      <c r="P924">
        <v>15.842000000000001</v>
      </c>
      <c r="Q924">
        <v>10.827999999999999</v>
      </c>
      <c r="R924">
        <v>0</v>
      </c>
      <c r="S924">
        <v>4</v>
      </c>
    </row>
    <row r="925" spans="14:19">
      <c r="N925">
        <v>924</v>
      </c>
      <c r="O925">
        <v>0</v>
      </c>
      <c r="P925">
        <v>15.106</v>
      </c>
      <c r="Q925">
        <v>10.675000000000001</v>
      </c>
      <c r="R925">
        <v>0</v>
      </c>
      <c r="S925">
        <v>4</v>
      </c>
    </row>
    <row r="926" spans="14:19">
      <c r="N926">
        <v>925</v>
      </c>
      <c r="O926">
        <v>0</v>
      </c>
      <c r="P926">
        <v>14.759</v>
      </c>
      <c r="Q926">
        <v>10.592000000000001</v>
      </c>
      <c r="R926">
        <v>0</v>
      </c>
      <c r="S926">
        <v>4</v>
      </c>
    </row>
    <row r="927" spans="14:19">
      <c r="N927">
        <v>926</v>
      </c>
      <c r="O927">
        <v>0</v>
      </c>
      <c r="P927">
        <v>14.314</v>
      </c>
      <c r="Q927">
        <v>10.494999999999999</v>
      </c>
      <c r="R927">
        <v>0</v>
      </c>
      <c r="S927">
        <v>4</v>
      </c>
    </row>
    <row r="928" spans="14:19">
      <c r="N928">
        <v>927</v>
      </c>
      <c r="O928">
        <v>0</v>
      </c>
      <c r="P928">
        <v>13.606</v>
      </c>
      <c r="Q928">
        <v>10.467000000000001</v>
      </c>
      <c r="R928">
        <v>0</v>
      </c>
      <c r="S928">
        <v>4</v>
      </c>
    </row>
    <row r="929" spans="14:19">
      <c r="N929">
        <v>928</v>
      </c>
      <c r="O929">
        <v>0</v>
      </c>
      <c r="P929">
        <v>12.911</v>
      </c>
      <c r="Q929">
        <v>10.134</v>
      </c>
      <c r="R929">
        <v>0</v>
      </c>
      <c r="S929">
        <v>4</v>
      </c>
    </row>
    <row r="930" spans="14:19">
      <c r="N930">
        <v>929</v>
      </c>
      <c r="O930">
        <v>0</v>
      </c>
      <c r="P930">
        <v>12.661</v>
      </c>
      <c r="Q930">
        <v>10.273</v>
      </c>
      <c r="R930">
        <v>0</v>
      </c>
      <c r="S930">
        <v>4</v>
      </c>
    </row>
    <row r="931" spans="14:19">
      <c r="N931">
        <v>930</v>
      </c>
      <c r="O931">
        <v>0</v>
      </c>
      <c r="P931">
        <v>12.452999999999999</v>
      </c>
      <c r="Q931">
        <v>10.439</v>
      </c>
      <c r="R931">
        <v>0</v>
      </c>
      <c r="S931">
        <v>4</v>
      </c>
    </row>
    <row r="932" spans="14:19">
      <c r="N932">
        <v>931</v>
      </c>
      <c r="O932">
        <v>0</v>
      </c>
      <c r="P932">
        <v>12.731</v>
      </c>
      <c r="Q932">
        <v>10.494999999999999</v>
      </c>
      <c r="R932">
        <v>0</v>
      </c>
      <c r="S932">
        <v>4</v>
      </c>
    </row>
    <row r="933" spans="14:19">
      <c r="N933">
        <v>932</v>
      </c>
      <c r="O933">
        <v>0</v>
      </c>
      <c r="P933">
        <v>13.175000000000001</v>
      </c>
      <c r="Q933">
        <v>10.55</v>
      </c>
      <c r="R933">
        <v>0</v>
      </c>
      <c r="S933">
        <v>4</v>
      </c>
    </row>
    <row r="934" spans="14:19">
      <c r="N934">
        <v>933</v>
      </c>
      <c r="O934">
        <v>0</v>
      </c>
      <c r="P934">
        <v>11.842000000000001</v>
      </c>
      <c r="Q934">
        <v>9.9529999999999994</v>
      </c>
      <c r="R934">
        <v>0</v>
      </c>
      <c r="S934">
        <v>4</v>
      </c>
    </row>
    <row r="935" spans="14:19">
      <c r="N935">
        <v>934</v>
      </c>
      <c r="O935">
        <v>0</v>
      </c>
      <c r="P935">
        <v>11.314</v>
      </c>
      <c r="Q935">
        <v>9.9109999999999996</v>
      </c>
      <c r="R935">
        <v>0</v>
      </c>
      <c r="S935">
        <v>4</v>
      </c>
    </row>
    <row r="936" spans="14:19">
      <c r="N936">
        <v>935</v>
      </c>
      <c r="O936">
        <v>0</v>
      </c>
      <c r="P936">
        <v>11.244999999999999</v>
      </c>
      <c r="Q936">
        <v>10.036</v>
      </c>
      <c r="R936">
        <v>0</v>
      </c>
      <c r="S936">
        <v>4</v>
      </c>
    </row>
    <row r="937" spans="14:19">
      <c r="N937">
        <v>936</v>
      </c>
      <c r="O937">
        <v>0</v>
      </c>
      <c r="P937">
        <v>10.911</v>
      </c>
      <c r="Q937">
        <v>10.134</v>
      </c>
      <c r="R937">
        <v>0</v>
      </c>
      <c r="S937">
        <v>4</v>
      </c>
    </row>
    <row r="938" spans="14:19">
      <c r="N938">
        <v>937</v>
      </c>
      <c r="O938">
        <v>0</v>
      </c>
      <c r="P938">
        <v>10.077999999999999</v>
      </c>
      <c r="Q938">
        <v>10.244999999999999</v>
      </c>
      <c r="R938">
        <v>0</v>
      </c>
      <c r="S938">
        <v>4</v>
      </c>
    </row>
    <row r="939" spans="14:19">
      <c r="N939">
        <v>938</v>
      </c>
      <c r="O939">
        <v>0</v>
      </c>
      <c r="P939">
        <v>9.9109999999999996</v>
      </c>
      <c r="Q939">
        <v>10.759</v>
      </c>
      <c r="R939">
        <v>0</v>
      </c>
      <c r="S939">
        <v>4</v>
      </c>
    </row>
    <row r="940" spans="14:19">
      <c r="N940">
        <v>939</v>
      </c>
      <c r="O940">
        <v>0</v>
      </c>
      <c r="P940">
        <v>11.202999999999999</v>
      </c>
      <c r="Q940">
        <v>11.009</v>
      </c>
      <c r="R940">
        <v>0</v>
      </c>
      <c r="S940">
        <v>4</v>
      </c>
    </row>
    <row r="941" spans="14:19">
      <c r="N941">
        <v>940</v>
      </c>
      <c r="O941">
        <v>0</v>
      </c>
      <c r="P941">
        <v>11.827999999999999</v>
      </c>
      <c r="Q941">
        <v>11.077999999999999</v>
      </c>
      <c r="R941">
        <v>0</v>
      </c>
      <c r="S941">
        <v>4</v>
      </c>
    </row>
    <row r="942" spans="14:19">
      <c r="N942">
        <v>941</v>
      </c>
      <c r="O942">
        <v>0</v>
      </c>
      <c r="P942">
        <v>12.481</v>
      </c>
      <c r="Q942">
        <v>11.161</v>
      </c>
      <c r="R942">
        <v>0</v>
      </c>
      <c r="S942">
        <v>4</v>
      </c>
    </row>
    <row r="943" spans="14:19">
      <c r="N943">
        <v>942</v>
      </c>
      <c r="O943">
        <v>0</v>
      </c>
      <c r="P943">
        <v>13.134</v>
      </c>
      <c r="Q943">
        <v>11.064</v>
      </c>
      <c r="R943">
        <v>0</v>
      </c>
      <c r="S943">
        <v>4</v>
      </c>
    </row>
    <row r="944" spans="14:19">
      <c r="N944">
        <v>943</v>
      </c>
      <c r="O944">
        <v>0</v>
      </c>
      <c r="P944">
        <v>13.62</v>
      </c>
      <c r="Q944">
        <v>11.37</v>
      </c>
      <c r="R944">
        <v>0</v>
      </c>
      <c r="S944">
        <v>4</v>
      </c>
    </row>
    <row r="945" spans="14:19">
      <c r="N945">
        <v>944</v>
      </c>
      <c r="O945">
        <v>0</v>
      </c>
      <c r="P945">
        <v>14.827999999999999</v>
      </c>
      <c r="Q945">
        <v>11.009</v>
      </c>
      <c r="R945">
        <v>0</v>
      </c>
      <c r="S945">
        <v>4</v>
      </c>
    </row>
    <row r="946" spans="14:19">
      <c r="N946">
        <v>945</v>
      </c>
      <c r="O946">
        <v>0</v>
      </c>
      <c r="P946">
        <v>15.202999999999999</v>
      </c>
      <c r="Q946">
        <v>11.05</v>
      </c>
      <c r="R946">
        <v>0</v>
      </c>
      <c r="S946">
        <v>4</v>
      </c>
    </row>
    <row r="947" spans="14:19">
      <c r="N947">
        <v>946</v>
      </c>
      <c r="O947">
        <v>0</v>
      </c>
      <c r="P947">
        <v>13.759</v>
      </c>
      <c r="Q947">
        <v>10.842000000000001</v>
      </c>
      <c r="R947">
        <v>0</v>
      </c>
      <c r="S947">
        <v>4</v>
      </c>
    </row>
    <row r="948" spans="14:19">
      <c r="N948">
        <v>947</v>
      </c>
      <c r="O948">
        <v>0</v>
      </c>
      <c r="P948">
        <v>15.494999999999999</v>
      </c>
      <c r="Q948">
        <v>11.467000000000001</v>
      </c>
      <c r="R948">
        <v>0</v>
      </c>
      <c r="S948">
        <v>4</v>
      </c>
    </row>
    <row r="949" spans="14:19">
      <c r="N949">
        <v>948</v>
      </c>
      <c r="O949">
        <v>0</v>
      </c>
      <c r="P949">
        <v>15.827999999999999</v>
      </c>
      <c r="Q949">
        <v>11.356</v>
      </c>
      <c r="R949">
        <v>0</v>
      </c>
      <c r="S949">
        <v>4</v>
      </c>
    </row>
    <row r="950" spans="14:19">
      <c r="N950">
        <v>949</v>
      </c>
      <c r="O950">
        <v>0</v>
      </c>
      <c r="P950">
        <v>16.481000000000002</v>
      </c>
      <c r="Q950">
        <v>11.592000000000001</v>
      </c>
      <c r="R950">
        <v>0</v>
      </c>
      <c r="S950">
        <v>4</v>
      </c>
    </row>
    <row r="951" spans="14:19">
      <c r="N951">
        <v>950</v>
      </c>
      <c r="O951">
        <v>0</v>
      </c>
      <c r="P951">
        <v>17.161000000000001</v>
      </c>
      <c r="Q951">
        <v>11.773</v>
      </c>
      <c r="R951">
        <v>0</v>
      </c>
      <c r="S951">
        <v>4</v>
      </c>
    </row>
    <row r="952" spans="14:19">
      <c r="N952">
        <v>951</v>
      </c>
      <c r="O952">
        <v>0</v>
      </c>
      <c r="P952">
        <v>17.661000000000001</v>
      </c>
      <c r="Q952">
        <v>11.981</v>
      </c>
      <c r="R952">
        <v>0</v>
      </c>
      <c r="S952">
        <v>4</v>
      </c>
    </row>
    <row r="953" spans="14:19">
      <c r="N953">
        <v>952</v>
      </c>
      <c r="O953">
        <v>0</v>
      </c>
      <c r="P953">
        <v>18.106000000000002</v>
      </c>
      <c r="Q953">
        <v>11.925000000000001</v>
      </c>
      <c r="R953">
        <v>0</v>
      </c>
      <c r="S953">
        <v>4</v>
      </c>
    </row>
    <row r="954" spans="14:19">
      <c r="N954">
        <v>953</v>
      </c>
      <c r="O954">
        <v>0</v>
      </c>
      <c r="P954">
        <v>18.634</v>
      </c>
      <c r="Q954">
        <v>11.814</v>
      </c>
      <c r="R954">
        <v>0</v>
      </c>
      <c r="S954">
        <v>4</v>
      </c>
    </row>
    <row r="955" spans="14:19">
      <c r="N955">
        <v>954</v>
      </c>
      <c r="O955">
        <v>0</v>
      </c>
      <c r="P955">
        <v>18.939</v>
      </c>
      <c r="Q955">
        <v>12.023</v>
      </c>
      <c r="R955">
        <v>0</v>
      </c>
      <c r="S955">
        <v>4</v>
      </c>
    </row>
    <row r="956" spans="14:19">
      <c r="N956">
        <v>955</v>
      </c>
      <c r="O956">
        <v>0</v>
      </c>
      <c r="P956">
        <v>19.398</v>
      </c>
      <c r="Q956">
        <v>12.148</v>
      </c>
      <c r="R956">
        <v>0</v>
      </c>
      <c r="S956">
        <v>4</v>
      </c>
    </row>
    <row r="957" spans="14:19">
      <c r="N957">
        <v>956</v>
      </c>
      <c r="O957">
        <v>0</v>
      </c>
      <c r="P957">
        <v>19.161000000000001</v>
      </c>
      <c r="Q957">
        <v>12.55</v>
      </c>
      <c r="R957">
        <v>0</v>
      </c>
      <c r="S957">
        <v>4</v>
      </c>
    </row>
    <row r="958" spans="14:19">
      <c r="N958">
        <v>957</v>
      </c>
      <c r="O958">
        <v>0</v>
      </c>
      <c r="P958">
        <v>0.27300000000000002</v>
      </c>
      <c r="Q958">
        <v>3.4670000000000001</v>
      </c>
      <c r="R958">
        <v>0</v>
      </c>
      <c r="S958">
        <v>5</v>
      </c>
    </row>
    <row r="959" spans="14:19">
      <c r="N959">
        <v>958</v>
      </c>
      <c r="O959">
        <v>0</v>
      </c>
      <c r="P959">
        <v>0.37</v>
      </c>
      <c r="Q959">
        <v>2.9950000000000001</v>
      </c>
      <c r="R959">
        <v>0</v>
      </c>
      <c r="S959">
        <v>5</v>
      </c>
    </row>
    <row r="960" spans="14:19">
      <c r="N960">
        <v>959</v>
      </c>
      <c r="O960">
        <v>0</v>
      </c>
      <c r="P960">
        <v>1.661</v>
      </c>
      <c r="Q960">
        <v>3.3</v>
      </c>
      <c r="R960">
        <v>0</v>
      </c>
      <c r="S960">
        <v>5</v>
      </c>
    </row>
    <row r="961" spans="14:19">
      <c r="N961">
        <v>960</v>
      </c>
      <c r="O961">
        <v>0</v>
      </c>
      <c r="P961">
        <v>1.1200000000000001</v>
      </c>
      <c r="Q961">
        <v>3.5230000000000001</v>
      </c>
      <c r="R961">
        <v>0</v>
      </c>
      <c r="S961">
        <v>5</v>
      </c>
    </row>
    <row r="962" spans="14:19">
      <c r="N962">
        <v>961</v>
      </c>
      <c r="O962">
        <v>0</v>
      </c>
      <c r="P962">
        <v>0.75900000000000001</v>
      </c>
      <c r="Q962">
        <v>3.7309999999999999</v>
      </c>
      <c r="R962">
        <v>0</v>
      </c>
      <c r="S962">
        <v>5</v>
      </c>
    </row>
    <row r="963" spans="14:19">
      <c r="N963">
        <v>962</v>
      </c>
      <c r="O963">
        <v>0</v>
      </c>
      <c r="P963">
        <v>0.46700000000000003</v>
      </c>
      <c r="Q963">
        <v>3.911</v>
      </c>
      <c r="R963">
        <v>0</v>
      </c>
      <c r="S963">
        <v>5</v>
      </c>
    </row>
    <row r="964" spans="14:19">
      <c r="N964">
        <v>963</v>
      </c>
      <c r="O964">
        <v>0</v>
      </c>
      <c r="P964">
        <v>0.68899999999999995</v>
      </c>
      <c r="Q964">
        <v>4.2309999999999999</v>
      </c>
      <c r="R964">
        <v>0</v>
      </c>
      <c r="S964">
        <v>5</v>
      </c>
    </row>
    <row r="965" spans="14:19">
      <c r="N965">
        <v>964</v>
      </c>
      <c r="O965">
        <v>0</v>
      </c>
      <c r="P965">
        <v>1.0089999999999999</v>
      </c>
      <c r="Q965">
        <v>4.1340000000000003</v>
      </c>
      <c r="R965">
        <v>0</v>
      </c>
      <c r="S965">
        <v>5</v>
      </c>
    </row>
    <row r="966" spans="14:19">
      <c r="N966">
        <v>965</v>
      </c>
      <c r="O966">
        <v>0</v>
      </c>
      <c r="P966">
        <v>1.4390000000000001</v>
      </c>
      <c r="Q966">
        <v>4.3840000000000003</v>
      </c>
      <c r="R966">
        <v>0</v>
      </c>
      <c r="S966">
        <v>5</v>
      </c>
    </row>
    <row r="967" spans="14:19">
      <c r="N967">
        <v>966</v>
      </c>
      <c r="O967">
        <v>0</v>
      </c>
      <c r="P967">
        <v>1.8420000000000001</v>
      </c>
      <c r="Q967">
        <v>4.3419999999999996</v>
      </c>
      <c r="R967">
        <v>0</v>
      </c>
      <c r="S967">
        <v>5</v>
      </c>
    </row>
    <row r="968" spans="14:19">
      <c r="N968">
        <v>967</v>
      </c>
      <c r="O968">
        <v>0</v>
      </c>
      <c r="P968">
        <v>2.1749999999999998</v>
      </c>
      <c r="Q968">
        <v>4.3280000000000003</v>
      </c>
      <c r="R968">
        <v>0</v>
      </c>
      <c r="S968">
        <v>5</v>
      </c>
    </row>
    <row r="969" spans="14:19">
      <c r="N969">
        <v>968</v>
      </c>
      <c r="O969">
        <v>0</v>
      </c>
      <c r="P969">
        <v>2.12</v>
      </c>
      <c r="Q969">
        <v>4.0229999999999997</v>
      </c>
      <c r="R969">
        <v>0</v>
      </c>
      <c r="S969">
        <v>5</v>
      </c>
    </row>
    <row r="970" spans="14:19">
      <c r="N970">
        <v>969</v>
      </c>
      <c r="O970">
        <v>0</v>
      </c>
      <c r="P970">
        <v>1.9670000000000001</v>
      </c>
      <c r="Q970">
        <v>3.7450000000000001</v>
      </c>
      <c r="R970">
        <v>0</v>
      </c>
      <c r="S970">
        <v>5</v>
      </c>
    </row>
    <row r="971" spans="14:19">
      <c r="N971">
        <v>970</v>
      </c>
      <c r="O971">
        <v>0</v>
      </c>
      <c r="P971">
        <v>2.5920000000000001</v>
      </c>
      <c r="Q971">
        <v>3.8839999999999999</v>
      </c>
      <c r="R971">
        <v>0</v>
      </c>
      <c r="S971">
        <v>5</v>
      </c>
    </row>
    <row r="972" spans="14:19">
      <c r="N972">
        <v>971</v>
      </c>
      <c r="O972">
        <v>0</v>
      </c>
      <c r="P972">
        <v>2.9249999999999998</v>
      </c>
      <c r="Q972">
        <v>3.7589999999999999</v>
      </c>
      <c r="R972">
        <v>0</v>
      </c>
      <c r="S972">
        <v>5</v>
      </c>
    </row>
    <row r="973" spans="14:19">
      <c r="N973">
        <v>972</v>
      </c>
      <c r="O973">
        <v>0</v>
      </c>
      <c r="P973">
        <v>3.1890000000000001</v>
      </c>
      <c r="Q973">
        <v>3.661</v>
      </c>
      <c r="R973">
        <v>0</v>
      </c>
      <c r="S973">
        <v>5</v>
      </c>
    </row>
    <row r="974" spans="14:19">
      <c r="N974">
        <v>973</v>
      </c>
      <c r="O974">
        <v>0</v>
      </c>
      <c r="P974">
        <v>3.536</v>
      </c>
      <c r="Q974">
        <v>3.8</v>
      </c>
      <c r="R974">
        <v>0</v>
      </c>
      <c r="S974">
        <v>5</v>
      </c>
    </row>
    <row r="975" spans="14:19">
      <c r="N975">
        <v>974</v>
      </c>
      <c r="O975">
        <v>0</v>
      </c>
      <c r="P975">
        <v>3.0640000000000001</v>
      </c>
      <c r="Q975">
        <v>4.1059999999999999</v>
      </c>
      <c r="R975">
        <v>0</v>
      </c>
      <c r="S975">
        <v>5</v>
      </c>
    </row>
    <row r="976" spans="14:19">
      <c r="N976">
        <v>975</v>
      </c>
      <c r="O976">
        <v>0</v>
      </c>
      <c r="P976">
        <v>2.7450000000000001</v>
      </c>
      <c r="Q976">
        <v>4.3419999999999996</v>
      </c>
      <c r="R976">
        <v>0</v>
      </c>
      <c r="S976">
        <v>5</v>
      </c>
    </row>
    <row r="977" spans="14:19">
      <c r="N977">
        <v>976</v>
      </c>
      <c r="O977">
        <v>0</v>
      </c>
      <c r="P977">
        <v>3.1059999999999999</v>
      </c>
      <c r="Q977">
        <v>4.4109999999999996</v>
      </c>
      <c r="R977">
        <v>0</v>
      </c>
      <c r="S977">
        <v>5</v>
      </c>
    </row>
    <row r="978" spans="14:19">
      <c r="N978">
        <v>977</v>
      </c>
      <c r="O978">
        <v>0</v>
      </c>
      <c r="P978">
        <v>3.62</v>
      </c>
      <c r="Q978">
        <v>4.3419999999999996</v>
      </c>
      <c r="R978">
        <v>0</v>
      </c>
      <c r="S978">
        <v>5</v>
      </c>
    </row>
    <row r="979" spans="14:19">
      <c r="N979">
        <v>978</v>
      </c>
      <c r="O979">
        <v>0</v>
      </c>
      <c r="P979">
        <v>3.9670000000000001</v>
      </c>
      <c r="Q979">
        <v>4.6609999999999996</v>
      </c>
      <c r="R979">
        <v>0</v>
      </c>
      <c r="S979">
        <v>5</v>
      </c>
    </row>
    <row r="980" spans="14:19">
      <c r="N980">
        <v>979</v>
      </c>
      <c r="O980">
        <v>0</v>
      </c>
      <c r="P980">
        <v>4.3419999999999996</v>
      </c>
      <c r="Q980">
        <v>4.3419999999999996</v>
      </c>
      <c r="R980">
        <v>0</v>
      </c>
      <c r="S980">
        <v>5</v>
      </c>
    </row>
    <row r="981" spans="14:19">
      <c r="N981">
        <v>980</v>
      </c>
      <c r="O981">
        <v>0</v>
      </c>
      <c r="P981">
        <v>4.9950000000000001</v>
      </c>
      <c r="Q981">
        <v>4.3280000000000003</v>
      </c>
      <c r="R981">
        <v>0</v>
      </c>
      <c r="S981">
        <v>5</v>
      </c>
    </row>
    <row r="982" spans="14:19">
      <c r="N982">
        <v>981</v>
      </c>
      <c r="O982">
        <v>0</v>
      </c>
      <c r="P982">
        <v>4.8140000000000001</v>
      </c>
      <c r="Q982">
        <v>4.6609999999999996</v>
      </c>
      <c r="R982">
        <v>0</v>
      </c>
      <c r="S982">
        <v>5</v>
      </c>
    </row>
    <row r="983" spans="14:19">
      <c r="N983">
        <v>982</v>
      </c>
      <c r="O983">
        <v>0</v>
      </c>
      <c r="P983">
        <v>5.2030000000000003</v>
      </c>
      <c r="Q983">
        <v>4.7169999999999996</v>
      </c>
      <c r="R983">
        <v>0</v>
      </c>
      <c r="S983">
        <v>5</v>
      </c>
    </row>
    <row r="984" spans="14:19">
      <c r="N984">
        <v>983</v>
      </c>
      <c r="O984">
        <v>0</v>
      </c>
      <c r="P984">
        <v>5.8280000000000003</v>
      </c>
      <c r="Q984">
        <v>4.7030000000000003</v>
      </c>
      <c r="R984">
        <v>0</v>
      </c>
      <c r="S984">
        <v>5</v>
      </c>
    </row>
    <row r="985" spans="14:19">
      <c r="N985">
        <v>984</v>
      </c>
      <c r="O985">
        <v>0</v>
      </c>
      <c r="P985">
        <v>6.2030000000000003</v>
      </c>
      <c r="Q985">
        <v>4.2729999999999997</v>
      </c>
      <c r="R985">
        <v>0</v>
      </c>
      <c r="S985">
        <v>5</v>
      </c>
    </row>
    <row r="986" spans="14:19">
      <c r="N986">
        <v>985</v>
      </c>
      <c r="O986">
        <v>0</v>
      </c>
      <c r="P986">
        <v>6.9109999999999996</v>
      </c>
      <c r="Q986">
        <v>4.5919999999999996</v>
      </c>
      <c r="R986">
        <v>0</v>
      </c>
      <c r="S986">
        <v>5</v>
      </c>
    </row>
    <row r="987" spans="14:19">
      <c r="N987">
        <v>986</v>
      </c>
      <c r="O987">
        <v>0</v>
      </c>
      <c r="P987">
        <v>7.6749999999999998</v>
      </c>
      <c r="Q987">
        <v>4.7859999999999996</v>
      </c>
      <c r="R987">
        <v>0</v>
      </c>
      <c r="S987">
        <v>5</v>
      </c>
    </row>
    <row r="988" spans="14:19">
      <c r="N988">
        <v>987</v>
      </c>
      <c r="O988">
        <v>0</v>
      </c>
      <c r="P988">
        <v>7.9109999999999996</v>
      </c>
      <c r="Q988">
        <v>5.1749999999999998</v>
      </c>
      <c r="R988">
        <v>0</v>
      </c>
      <c r="S988">
        <v>5</v>
      </c>
    </row>
    <row r="989" spans="14:19">
      <c r="N989">
        <v>988</v>
      </c>
      <c r="O989">
        <v>0</v>
      </c>
      <c r="P989">
        <v>7.4950000000000001</v>
      </c>
      <c r="Q989">
        <v>5.4109999999999996</v>
      </c>
      <c r="R989">
        <v>0</v>
      </c>
      <c r="S989">
        <v>5</v>
      </c>
    </row>
    <row r="990" spans="14:19">
      <c r="N990">
        <v>989</v>
      </c>
      <c r="O990">
        <v>0</v>
      </c>
      <c r="P990">
        <v>6.8</v>
      </c>
      <c r="Q990">
        <v>5.3</v>
      </c>
      <c r="R990">
        <v>0</v>
      </c>
      <c r="S990">
        <v>5</v>
      </c>
    </row>
    <row r="991" spans="14:19">
      <c r="N991">
        <v>990</v>
      </c>
      <c r="O991">
        <v>0</v>
      </c>
      <c r="P991">
        <v>6.2030000000000003</v>
      </c>
      <c r="Q991">
        <v>5.3280000000000003</v>
      </c>
      <c r="R991">
        <v>0</v>
      </c>
      <c r="S991">
        <v>5</v>
      </c>
    </row>
    <row r="992" spans="14:19">
      <c r="N992">
        <v>991</v>
      </c>
      <c r="O992">
        <v>0</v>
      </c>
      <c r="P992">
        <v>5.8840000000000003</v>
      </c>
      <c r="Q992">
        <v>5.12</v>
      </c>
      <c r="R992">
        <v>0</v>
      </c>
      <c r="S992">
        <v>5</v>
      </c>
    </row>
    <row r="993" spans="14:19">
      <c r="N993">
        <v>992</v>
      </c>
      <c r="O993">
        <v>0</v>
      </c>
      <c r="P993">
        <v>6.4109999999999996</v>
      </c>
      <c r="Q993">
        <v>4.8419999999999996</v>
      </c>
      <c r="R993">
        <v>0</v>
      </c>
      <c r="S993">
        <v>5</v>
      </c>
    </row>
    <row r="994" spans="14:19">
      <c r="N994">
        <v>993</v>
      </c>
      <c r="O994">
        <v>0</v>
      </c>
      <c r="P994">
        <v>8.1059999999999999</v>
      </c>
      <c r="Q994">
        <v>5.6749999999999998</v>
      </c>
      <c r="R994">
        <v>0</v>
      </c>
      <c r="S994">
        <v>5</v>
      </c>
    </row>
    <row r="995" spans="14:19">
      <c r="N995">
        <v>994</v>
      </c>
      <c r="O995">
        <v>0</v>
      </c>
      <c r="P995">
        <v>8.7309999999999999</v>
      </c>
      <c r="Q995">
        <v>4.7590000000000003</v>
      </c>
      <c r="R995">
        <v>0</v>
      </c>
      <c r="S995">
        <v>5</v>
      </c>
    </row>
    <row r="996" spans="14:19">
      <c r="N996">
        <v>995</v>
      </c>
      <c r="O996">
        <v>0</v>
      </c>
      <c r="P996">
        <v>9.0359999999999996</v>
      </c>
      <c r="Q996">
        <v>5.12</v>
      </c>
      <c r="R996">
        <v>0</v>
      </c>
      <c r="S996">
        <v>5</v>
      </c>
    </row>
    <row r="997" spans="14:19">
      <c r="N997">
        <v>996</v>
      </c>
      <c r="O997">
        <v>0</v>
      </c>
      <c r="P997">
        <v>9.2309999999999999</v>
      </c>
      <c r="Q997">
        <v>5.4950000000000001</v>
      </c>
      <c r="R997">
        <v>0</v>
      </c>
      <c r="S997">
        <v>5</v>
      </c>
    </row>
    <row r="998" spans="14:19">
      <c r="N998">
        <v>997</v>
      </c>
      <c r="O998">
        <v>0</v>
      </c>
      <c r="P998">
        <v>9.5229999999999997</v>
      </c>
      <c r="Q998">
        <v>5.7030000000000003</v>
      </c>
      <c r="R998">
        <v>0</v>
      </c>
      <c r="S998">
        <v>5</v>
      </c>
    </row>
    <row r="999" spans="14:19">
      <c r="N999">
        <v>998</v>
      </c>
      <c r="O999">
        <v>0</v>
      </c>
      <c r="P999">
        <v>9.8979999999999997</v>
      </c>
      <c r="Q999">
        <v>5.8840000000000003</v>
      </c>
      <c r="R999">
        <v>0</v>
      </c>
      <c r="S999">
        <v>5</v>
      </c>
    </row>
    <row r="1000" spans="14:19">
      <c r="N1000">
        <v>999</v>
      </c>
      <c r="O1000">
        <v>0</v>
      </c>
      <c r="P1000">
        <v>10.884</v>
      </c>
      <c r="Q1000">
        <v>5.7590000000000003</v>
      </c>
      <c r="R1000">
        <v>0</v>
      </c>
      <c r="S1000">
        <v>5</v>
      </c>
    </row>
    <row r="1001" spans="14:19">
      <c r="N1001">
        <v>1000</v>
      </c>
      <c r="O1001">
        <v>0</v>
      </c>
      <c r="P1001">
        <v>11.231</v>
      </c>
      <c r="Q1001">
        <v>5.5780000000000003</v>
      </c>
      <c r="R1001">
        <v>0</v>
      </c>
      <c r="S1001">
        <v>5</v>
      </c>
    </row>
    <row r="1002" spans="14:19">
      <c r="N1002">
        <v>1001</v>
      </c>
      <c r="O1002">
        <v>0</v>
      </c>
      <c r="P1002">
        <v>11.481</v>
      </c>
      <c r="Q1002">
        <v>5.1749999999999998</v>
      </c>
      <c r="R1002">
        <v>0</v>
      </c>
      <c r="S1002">
        <v>5</v>
      </c>
    </row>
    <row r="1003" spans="14:19">
      <c r="N1003">
        <v>1002</v>
      </c>
      <c r="O1003">
        <v>0</v>
      </c>
      <c r="P1003">
        <v>11.05</v>
      </c>
      <c r="Q1003">
        <v>5.12</v>
      </c>
      <c r="R1003">
        <v>0</v>
      </c>
      <c r="S1003">
        <v>5</v>
      </c>
    </row>
    <row r="1004" spans="14:19">
      <c r="N1004">
        <v>1003</v>
      </c>
      <c r="O1004">
        <v>0</v>
      </c>
      <c r="P1004">
        <v>11.994999999999999</v>
      </c>
      <c r="Q1004">
        <v>5.12</v>
      </c>
      <c r="R1004">
        <v>0</v>
      </c>
      <c r="S1004">
        <v>5</v>
      </c>
    </row>
    <row r="1005" spans="14:19">
      <c r="N1005">
        <v>1004</v>
      </c>
      <c r="O1005">
        <v>0</v>
      </c>
      <c r="P1005">
        <v>12.342000000000001</v>
      </c>
      <c r="Q1005">
        <v>5.2309999999999999</v>
      </c>
      <c r="R1005">
        <v>0</v>
      </c>
      <c r="S1005">
        <v>5</v>
      </c>
    </row>
    <row r="1006" spans="14:19">
      <c r="N1006">
        <v>1005</v>
      </c>
      <c r="O1006">
        <v>0</v>
      </c>
      <c r="P1006">
        <v>11.648</v>
      </c>
      <c r="Q1006">
        <v>4.9390000000000001</v>
      </c>
      <c r="R1006">
        <v>0</v>
      </c>
      <c r="S1006">
        <v>5</v>
      </c>
    </row>
    <row r="1007" spans="14:19">
      <c r="N1007">
        <v>1006</v>
      </c>
      <c r="O1007">
        <v>0</v>
      </c>
      <c r="P1007">
        <v>10.411</v>
      </c>
      <c r="Q1007">
        <v>4.8559999999999999</v>
      </c>
      <c r="R1007">
        <v>0</v>
      </c>
      <c r="S1007">
        <v>5</v>
      </c>
    </row>
    <row r="1008" spans="14:19">
      <c r="N1008">
        <v>1007</v>
      </c>
      <c r="O1008">
        <v>0</v>
      </c>
      <c r="P1008">
        <v>9.5500000000000007</v>
      </c>
      <c r="Q1008">
        <v>6.12</v>
      </c>
      <c r="R1008">
        <v>0</v>
      </c>
      <c r="S1008">
        <v>5</v>
      </c>
    </row>
    <row r="1009" spans="14:19">
      <c r="N1009">
        <v>1008</v>
      </c>
      <c r="O1009">
        <v>0</v>
      </c>
      <c r="P1009">
        <v>9.7590000000000003</v>
      </c>
      <c r="Q1009">
        <v>6.6059999999999999</v>
      </c>
      <c r="R1009">
        <v>0</v>
      </c>
      <c r="S1009">
        <v>5</v>
      </c>
    </row>
    <row r="1010" spans="14:19">
      <c r="N1010">
        <v>1009</v>
      </c>
      <c r="O1010">
        <v>0</v>
      </c>
      <c r="P1010">
        <v>9.3559999999999999</v>
      </c>
      <c r="Q1010">
        <v>6.87</v>
      </c>
      <c r="R1010">
        <v>0</v>
      </c>
      <c r="S1010">
        <v>5</v>
      </c>
    </row>
    <row r="1011" spans="14:19">
      <c r="N1011">
        <v>1010</v>
      </c>
      <c r="O1011">
        <v>0</v>
      </c>
      <c r="P1011">
        <v>9.7029999999999994</v>
      </c>
      <c r="Q1011">
        <v>7.1890000000000001</v>
      </c>
      <c r="R1011">
        <v>0</v>
      </c>
      <c r="S1011">
        <v>5</v>
      </c>
    </row>
    <row r="1012" spans="14:19">
      <c r="N1012">
        <v>1011</v>
      </c>
      <c r="O1012">
        <v>0</v>
      </c>
      <c r="P1012">
        <v>10.106</v>
      </c>
      <c r="Q1012">
        <v>7.1890000000000001</v>
      </c>
      <c r="R1012">
        <v>0</v>
      </c>
      <c r="S1012">
        <v>5</v>
      </c>
    </row>
    <row r="1013" spans="14:19">
      <c r="N1013">
        <v>1012</v>
      </c>
      <c r="O1013">
        <v>0</v>
      </c>
      <c r="P1013">
        <v>10.148</v>
      </c>
      <c r="Q1013">
        <v>7.5780000000000003</v>
      </c>
      <c r="R1013">
        <v>0</v>
      </c>
      <c r="S1013">
        <v>5</v>
      </c>
    </row>
    <row r="1014" spans="14:19">
      <c r="N1014">
        <v>1013</v>
      </c>
      <c r="O1014">
        <v>0</v>
      </c>
      <c r="P1014">
        <v>10.731</v>
      </c>
      <c r="Q1014">
        <v>7.4109999999999996</v>
      </c>
      <c r="R1014">
        <v>0</v>
      </c>
      <c r="S1014">
        <v>5</v>
      </c>
    </row>
    <row r="1015" spans="14:19">
      <c r="N1015">
        <v>1014</v>
      </c>
      <c r="O1015">
        <v>0</v>
      </c>
      <c r="P1015">
        <v>10.592000000000001</v>
      </c>
      <c r="Q1015">
        <v>7.0919999999999996</v>
      </c>
      <c r="R1015">
        <v>0</v>
      </c>
      <c r="S1015">
        <v>5</v>
      </c>
    </row>
    <row r="1016" spans="14:19">
      <c r="N1016">
        <v>1015</v>
      </c>
      <c r="O1016">
        <v>0</v>
      </c>
      <c r="P1016">
        <v>10.523</v>
      </c>
      <c r="Q1016">
        <v>6.7729999999999997</v>
      </c>
      <c r="R1016">
        <v>0</v>
      </c>
      <c r="S1016">
        <v>5</v>
      </c>
    </row>
    <row r="1017" spans="14:19">
      <c r="N1017">
        <v>1016</v>
      </c>
      <c r="O1017">
        <v>0</v>
      </c>
      <c r="P1017">
        <v>11.064</v>
      </c>
      <c r="Q1017">
        <v>6.5640000000000001</v>
      </c>
      <c r="R1017">
        <v>0</v>
      </c>
      <c r="S1017">
        <v>5</v>
      </c>
    </row>
    <row r="1018" spans="14:19">
      <c r="N1018">
        <v>1017</v>
      </c>
      <c r="O1018">
        <v>0</v>
      </c>
      <c r="P1018">
        <v>11.744999999999999</v>
      </c>
      <c r="Q1018">
        <v>6.7450000000000001</v>
      </c>
      <c r="R1018">
        <v>0</v>
      </c>
      <c r="S1018">
        <v>5</v>
      </c>
    </row>
    <row r="1019" spans="14:19">
      <c r="N1019">
        <v>1018</v>
      </c>
      <c r="O1019">
        <v>0</v>
      </c>
      <c r="P1019">
        <v>11.314</v>
      </c>
      <c r="Q1019">
        <v>7.0640000000000001</v>
      </c>
      <c r="R1019">
        <v>0</v>
      </c>
      <c r="S1019">
        <v>5</v>
      </c>
    </row>
    <row r="1020" spans="14:19">
      <c r="N1020">
        <v>1019</v>
      </c>
      <c r="O1020">
        <v>0</v>
      </c>
      <c r="P1020">
        <v>11.87</v>
      </c>
      <c r="Q1020">
        <v>7.5090000000000003</v>
      </c>
      <c r="R1020">
        <v>0</v>
      </c>
      <c r="S1020">
        <v>5</v>
      </c>
    </row>
    <row r="1021" spans="14:19">
      <c r="N1021">
        <v>1020</v>
      </c>
      <c r="O1021">
        <v>0</v>
      </c>
      <c r="P1021">
        <v>11.842000000000001</v>
      </c>
      <c r="Q1021">
        <v>7.8280000000000003</v>
      </c>
      <c r="R1021">
        <v>0</v>
      </c>
      <c r="S1021">
        <v>5</v>
      </c>
    </row>
    <row r="1022" spans="14:19">
      <c r="N1022">
        <v>1021</v>
      </c>
      <c r="O1022">
        <v>0</v>
      </c>
      <c r="P1022">
        <v>12.494999999999999</v>
      </c>
      <c r="Q1022">
        <v>7.8979999999999997</v>
      </c>
      <c r="R1022">
        <v>0</v>
      </c>
      <c r="S1022">
        <v>5</v>
      </c>
    </row>
    <row r="1023" spans="14:19">
      <c r="N1023">
        <v>1022</v>
      </c>
      <c r="O1023">
        <v>0</v>
      </c>
      <c r="P1023">
        <v>12.62</v>
      </c>
      <c r="Q1023">
        <v>7.6479999999999997</v>
      </c>
      <c r="R1023">
        <v>0</v>
      </c>
      <c r="S1023">
        <v>5</v>
      </c>
    </row>
    <row r="1024" spans="14:19">
      <c r="N1024">
        <v>1023</v>
      </c>
      <c r="O1024">
        <v>0</v>
      </c>
      <c r="P1024">
        <v>12.827999999999999</v>
      </c>
      <c r="Q1024">
        <v>7.0780000000000003</v>
      </c>
      <c r="R1024">
        <v>0</v>
      </c>
      <c r="S1024">
        <v>5</v>
      </c>
    </row>
    <row r="1025" spans="14:19">
      <c r="N1025">
        <v>1024</v>
      </c>
      <c r="O1025">
        <v>0</v>
      </c>
      <c r="P1025">
        <v>12.467000000000001</v>
      </c>
      <c r="Q1025">
        <v>6.62</v>
      </c>
      <c r="R1025">
        <v>0</v>
      </c>
      <c r="S1025">
        <v>5</v>
      </c>
    </row>
    <row r="1026" spans="14:19">
      <c r="N1026">
        <v>1025</v>
      </c>
      <c r="O1026">
        <v>0</v>
      </c>
      <c r="P1026">
        <v>12.759</v>
      </c>
      <c r="Q1026">
        <v>6.7309999999999999</v>
      </c>
      <c r="R1026">
        <v>0</v>
      </c>
      <c r="S1026">
        <v>5</v>
      </c>
    </row>
    <row r="1027" spans="14:19">
      <c r="N1027">
        <v>1026</v>
      </c>
      <c r="O1027">
        <v>0</v>
      </c>
      <c r="P1027">
        <v>12.911</v>
      </c>
      <c r="Q1027">
        <v>6.6340000000000003</v>
      </c>
      <c r="R1027">
        <v>0</v>
      </c>
      <c r="S1027">
        <v>5</v>
      </c>
    </row>
    <row r="1028" spans="14:19">
      <c r="N1028">
        <v>1027</v>
      </c>
      <c r="O1028">
        <v>0</v>
      </c>
      <c r="P1028">
        <v>13.3</v>
      </c>
      <c r="Q1028">
        <v>6.7450000000000001</v>
      </c>
      <c r="R1028">
        <v>0</v>
      </c>
      <c r="S1028">
        <v>5</v>
      </c>
    </row>
    <row r="1029" spans="14:19">
      <c r="N1029">
        <v>1028</v>
      </c>
      <c r="O1029">
        <v>0</v>
      </c>
      <c r="P1029">
        <v>12.981</v>
      </c>
      <c r="Q1029">
        <v>7.1479999999999997</v>
      </c>
      <c r="R1029">
        <v>0</v>
      </c>
      <c r="S1029">
        <v>5</v>
      </c>
    </row>
    <row r="1030" spans="14:19">
      <c r="N1030">
        <v>1029</v>
      </c>
      <c r="O1030">
        <v>0</v>
      </c>
      <c r="P1030">
        <v>13.509</v>
      </c>
      <c r="Q1030">
        <v>7.3419999999999996</v>
      </c>
      <c r="R1030">
        <v>0</v>
      </c>
      <c r="S1030">
        <v>5</v>
      </c>
    </row>
    <row r="1031" spans="14:19">
      <c r="N1031">
        <v>1030</v>
      </c>
      <c r="O1031">
        <v>0</v>
      </c>
      <c r="P1031">
        <v>13.731</v>
      </c>
      <c r="Q1031">
        <v>7.3559999999999999</v>
      </c>
      <c r="R1031">
        <v>0</v>
      </c>
      <c r="S1031">
        <v>5</v>
      </c>
    </row>
    <row r="1032" spans="14:19">
      <c r="N1032">
        <v>1031</v>
      </c>
      <c r="O1032">
        <v>0</v>
      </c>
      <c r="P1032">
        <v>13.856</v>
      </c>
      <c r="Q1032">
        <v>7.1479999999999997</v>
      </c>
      <c r="R1032">
        <v>0</v>
      </c>
      <c r="S1032">
        <v>5</v>
      </c>
    </row>
    <row r="1033" spans="14:19">
      <c r="N1033">
        <v>1032</v>
      </c>
      <c r="O1033">
        <v>0</v>
      </c>
      <c r="P1033">
        <v>14.577999999999999</v>
      </c>
      <c r="Q1033">
        <v>6.9530000000000003</v>
      </c>
      <c r="R1033">
        <v>0</v>
      </c>
      <c r="S1033">
        <v>5</v>
      </c>
    </row>
    <row r="1034" spans="14:19">
      <c r="N1034">
        <v>1033</v>
      </c>
      <c r="O1034">
        <v>0</v>
      </c>
      <c r="P1034">
        <v>15.217000000000001</v>
      </c>
      <c r="Q1034">
        <v>7.0090000000000003</v>
      </c>
      <c r="R1034">
        <v>0</v>
      </c>
      <c r="S1034">
        <v>5</v>
      </c>
    </row>
    <row r="1035" spans="14:19">
      <c r="N1035">
        <v>1034</v>
      </c>
      <c r="O1035">
        <v>0</v>
      </c>
      <c r="P1035">
        <v>15.577999999999999</v>
      </c>
      <c r="Q1035">
        <v>6.4530000000000003</v>
      </c>
      <c r="R1035">
        <v>0</v>
      </c>
      <c r="S1035">
        <v>5</v>
      </c>
    </row>
    <row r="1036" spans="14:19">
      <c r="N1036">
        <v>1035</v>
      </c>
      <c r="O1036">
        <v>0</v>
      </c>
      <c r="P1036">
        <v>15.939</v>
      </c>
      <c r="Q1036">
        <v>6.6890000000000001</v>
      </c>
      <c r="R1036">
        <v>0</v>
      </c>
      <c r="S1036">
        <v>5</v>
      </c>
    </row>
    <row r="1037" spans="14:19">
      <c r="N1037">
        <v>1036</v>
      </c>
      <c r="O1037">
        <v>0</v>
      </c>
      <c r="P1037">
        <v>16.273</v>
      </c>
      <c r="Q1037">
        <v>7.0090000000000003</v>
      </c>
      <c r="R1037">
        <v>0</v>
      </c>
      <c r="S1037">
        <v>5</v>
      </c>
    </row>
    <row r="1038" spans="14:19">
      <c r="N1038">
        <v>1037</v>
      </c>
      <c r="O1038">
        <v>0</v>
      </c>
      <c r="P1038">
        <v>14.87</v>
      </c>
      <c r="Q1038">
        <v>7.1890000000000001</v>
      </c>
      <c r="R1038">
        <v>0</v>
      </c>
      <c r="S1038">
        <v>5</v>
      </c>
    </row>
    <row r="1039" spans="14:19">
      <c r="N1039">
        <v>1038</v>
      </c>
      <c r="O1039">
        <v>0</v>
      </c>
      <c r="P1039">
        <v>14.536</v>
      </c>
      <c r="Q1039">
        <v>7.3559999999999999</v>
      </c>
      <c r="R1039">
        <v>0</v>
      </c>
      <c r="S1039">
        <v>5</v>
      </c>
    </row>
    <row r="1040" spans="14:19">
      <c r="N1040">
        <v>1039</v>
      </c>
      <c r="O1040">
        <v>0</v>
      </c>
      <c r="P1040">
        <v>14.273</v>
      </c>
      <c r="Q1040">
        <v>7.4249999999999998</v>
      </c>
      <c r="R1040">
        <v>0</v>
      </c>
      <c r="S1040">
        <v>5</v>
      </c>
    </row>
    <row r="1041" spans="14:19">
      <c r="N1041">
        <v>1040</v>
      </c>
      <c r="O1041">
        <v>0</v>
      </c>
      <c r="P1041">
        <v>14.564</v>
      </c>
      <c r="Q1041">
        <v>7.6479999999999997</v>
      </c>
      <c r="R1041">
        <v>0</v>
      </c>
      <c r="S1041">
        <v>5</v>
      </c>
    </row>
    <row r="1042" spans="14:19">
      <c r="N1042">
        <v>1041</v>
      </c>
      <c r="O1042">
        <v>0</v>
      </c>
      <c r="P1042">
        <v>14.3</v>
      </c>
      <c r="Q1042">
        <v>7.7590000000000003</v>
      </c>
      <c r="R1042">
        <v>0</v>
      </c>
      <c r="S1042">
        <v>5</v>
      </c>
    </row>
    <row r="1043" spans="14:19">
      <c r="N1043">
        <v>1042</v>
      </c>
      <c r="O1043">
        <v>0</v>
      </c>
      <c r="P1043">
        <v>14.273</v>
      </c>
      <c r="Q1043">
        <v>8.1199999999999992</v>
      </c>
      <c r="R1043">
        <v>0</v>
      </c>
      <c r="S1043">
        <v>5</v>
      </c>
    </row>
    <row r="1044" spans="14:19">
      <c r="N1044">
        <v>1043</v>
      </c>
      <c r="O1044">
        <v>0</v>
      </c>
      <c r="P1044">
        <v>14.148</v>
      </c>
      <c r="Q1044">
        <v>8.4250000000000007</v>
      </c>
      <c r="R1044">
        <v>0</v>
      </c>
      <c r="S1044">
        <v>5</v>
      </c>
    </row>
    <row r="1045" spans="14:19">
      <c r="N1045">
        <v>1044</v>
      </c>
      <c r="O1045">
        <v>0</v>
      </c>
      <c r="P1045">
        <v>14.009</v>
      </c>
      <c r="Q1045">
        <v>8.2309999999999999</v>
      </c>
      <c r="R1045">
        <v>0</v>
      </c>
      <c r="S1045">
        <v>5</v>
      </c>
    </row>
    <row r="1046" spans="14:19">
      <c r="N1046">
        <v>1045</v>
      </c>
      <c r="O1046">
        <v>0</v>
      </c>
      <c r="P1046">
        <v>13.564</v>
      </c>
      <c r="Q1046">
        <v>8.0229999999999997</v>
      </c>
      <c r="R1046">
        <v>0</v>
      </c>
      <c r="S1046">
        <v>5</v>
      </c>
    </row>
    <row r="1047" spans="14:19">
      <c r="N1047">
        <v>1046</v>
      </c>
      <c r="O1047">
        <v>0</v>
      </c>
      <c r="P1047">
        <v>13.509</v>
      </c>
      <c r="Q1047">
        <v>7.62</v>
      </c>
      <c r="R1047">
        <v>0</v>
      </c>
      <c r="S1047">
        <v>5</v>
      </c>
    </row>
    <row r="1048" spans="14:19">
      <c r="N1048">
        <v>1047</v>
      </c>
      <c r="O1048">
        <v>0</v>
      </c>
      <c r="P1048">
        <v>13.467000000000001</v>
      </c>
      <c r="Q1048">
        <v>8.2449999999999992</v>
      </c>
      <c r="R1048">
        <v>0</v>
      </c>
      <c r="S1048">
        <v>5</v>
      </c>
    </row>
    <row r="1049" spans="14:19">
      <c r="N1049">
        <v>1048</v>
      </c>
      <c r="O1049">
        <v>0</v>
      </c>
      <c r="P1049">
        <v>13.814</v>
      </c>
      <c r="Q1049">
        <v>8.5500000000000007</v>
      </c>
      <c r="R1049">
        <v>0</v>
      </c>
      <c r="S1049">
        <v>5</v>
      </c>
    </row>
    <row r="1050" spans="14:19">
      <c r="N1050">
        <v>1049</v>
      </c>
      <c r="O1050">
        <v>0</v>
      </c>
      <c r="P1050">
        <v>14.231</v>
      </c>
      <c r="Q1050">
        <v>8.7170000000000005</v>
      </c>
      <c r="R1050">
        <v>0</v>
      </c>
      <c r="S1050">
        <v>5</v>
      </c>
    </row>
    <row r="1051" spans="14:19">
      <c r="N1051">
        <v>1050</v>
      </c>
      <c r="O1051">
        <v>0</v>
      </c>
      <c r="P1051">
        <v>14.202999999999999</v>
      </c>
      <c r="Q1051">
        <v>8.9109999999999996</v>
      </c>
      <c r="R1051">
        <v>0</v>
      </c>
      <c r="S1051">
        <v>5</v>
      </c>
    </row>
    <row r="1052" spans="14:19">
      <c r="N1052">
        <v>1051</v>
      </c>
      <c r="O1052">
        <v>0</v>
      </c>
      <c r="P1052">
        <v>14.967000000000001</v>
      </c>
      <c r="Q1052">
        <v>8.9390000000000001</v>
      </c>
      <c r="R1052">
        <v>0</v>
      </c>
      <c r="S1052">
        <v>5</v>
      </c>
    </row>
    <row r="1053" spans="14:19">
      <c r="N1053">
        <v>1052</v>
      </c>
      <c r="O1053">
        <v>0</v>
      </c>
      <c r="P1053">
        <v>15.731</v>
      </c>
      <c r="Q1053">
        <v>9.1199999999999992</v>
      </c>
      <c r="R1053">
        <v>0</v>
      </c>
      <c r="S1053">
        <v>5</v>
      </c>
    </row>
    <row r="1054" spans="14:19">
      <c r="N1054">
        <v>1053</v>
      </c>
      <c r="O1054">
        <v>0</v>
      </c>
      <c r="P1054">
        <v>16.689</v>
      </c>
      <c r="Q1054">
        <v>9.0920000000000005</v>
      </c>
      <c r="R1054">
        <v>0</v>
      </c>
      <c r="S1054">
        <v>5</v>
      </c>
    </row>
    <row r="1055" spans="14:19">
      <c r="N1055">
        <v>1054</v>
      </c>
      <c r="O1055">
        <v>0</v>
      </c>
      <c r="P1055">
        <v>16.716999999999999</v>
      </c>
      <c r="Q1055">
        <v>9.6479999999999997</v>
      </c>
      <c r="R1055">
        <v>0</v>
      </c>
      <c r="S1055">
        <v>5</v>
      </c>
    </row>
    <row r="1056" spans="14:19">
      <c r="N1056">
        <v>1055</v>
      </c>
      <c r="O1056">
        <v>0</v>
      </c>
      <c r="P1056">
        <v>16.439</v>
      </c>
      <c r="Q1056">
        <v>9.8000000000000007</v>
      </c>
      <c r="R1056">
        <v>0</v>
      </c>
      <c r="S1056">
        <v>5</v>
      </c>
    </row>
    <row r="1057" spans="14:19">
      <c r="N1057">
        <v>1056</v>
      </c>
      <c r="O1057">
        <v>0</v>
      </c>
      <c r="P1057">
        <v>17.398</v>
      </c>
      <c r="Q1057">
        <v>9.5359999999999996</v>
      </c>
      <c r="R1057">
        <v>0</v>
      </c>
      <c r="S1057">
        <v>5</v>
      </c>
    </row>
    <row r="1058" spans="14:19">
      <c r="N1058">
        <v>1057</v>
      </c>
      <c r="O1058">
        <v>0</v>
      </c>
      <c r="P1058">
        <v>17.286000000000001</v>
      </c>
      <c r="Q1058">
        <v>9.2029999999999994</v>
      </c>
      <c r="R1058">
        <v>0</v>
      </c>
      <c r="S1058">
        <v>5</v>
      </c>
    </row>
    <row r="1059" spans="14:19">
      <c r="N1059">
        <v>1058</v>
      </c>
      <c r="O1059">
        <v>0</v>
      </c>
      <c r="P1059">
        <v>17.425000000000001</v>
      </c>
      <c r="Q1059">
        <v>9.1340000000000003</v>
      </c>
      <c r="R1059">
        <v>0</v>
      </c>
      <c r="S1059">
        <v>5</v>
      </c>
    </row>
    <row r="1060" spans="14:19">
      <c r="N1060">
        <v>1059</v>
      </c>
      <c r="O1060">
        <v>0</v>
      </c>
      <c r="P1060">
        <v>18.314</v>
      </c>
      <c r="Q1060">
        <v>9.0779999999999994</v>
      </c>
      <c r="R1060">
        <v>0</v>
      </c>
      <c r="S1060">
        <v>5</v>
      </c>
    </row>
    <row r="1061" spans="14:19">
      <c r="N1061">
        <v>1060</v>
      </c>
      <c r="O1061">
        <v>0</v>
      </c>
      <c r="P1061">
        <v>19.536000000000001</v>
      </c>
      <c r="Q1061">
        <v>9.4390000000000001</v>
      </c>
      <c r="R1061">
        <v>0</v>
      </c>
      <c r="S1061">
        <v>5</v>
      </c>
    </row>
    <row r="1062" spans="14:19">
      <c r="N1062">
        <v>1061</v>
      </c>
      <c r="O1062">
        <v>0</v>
      </c>
      <c r="P1062">
        <v>14.925000000000001</v>
      </c>
      <c r="Q1062">
        <v>8.6609999999999996</v>
      </c>
      <c r="R1062">
        <v>0</v>
      </c>
      <c r="S1062">
        <v>5</v>
      </c>
    </row>
    <row r="1063" spans="14:19">
      <c r="N1063">
        <v>1062</v>
      </c>
      <c r="O1063">
        <v>0</v>
      </c>
      <c r="P1063">
        <v>14.62</v>
      </c>
      <c r="Q1063">
        <v>8.4529999999999994</v>
      </c>
      <c r="R1063">
        <v>0</v>
      </c>
      <c r="S1063">
        <v>5</v>
      </c>
    </row>
    <row r="1064" spans="14:19">
      <c r="N1064">
        <v>1063</v>
      </c>
      <c r="O1064">
        <v>0</v>
      </c>
      <c r="P1064">
        <v>15.009</v>
      </c>
      <c r="Q1064">
        <v>8.3420000000000005</v>
      </c>
      <c r="R1064">
        <v>0</v>
      </c>
      <c r="S1064">
        <v>5</v>
      </c>
    </row>
    <row r="1065" spans="14:19">
      <c r="N1065">
        <v>1064</v>
      </c>
      <c r="O1065">
        <v>0</v>
      </c>
      <c r="P1065">
        <v>15.244999999999999</v>
      </c>
      <c r="Q1065">
        <v>8.5229999999999997</v>
      </c>
      <c r="R1065">
        <v>0</v>
      </c>
      <c r="S1065">
        <v>5</v>
      </c>
    </row>
    <row r="1066" spans="14:19">
      <c r="N1066">
        <v>1065</v>
      </c>
      <c r="O1066">
        <v>0</v>
      </c>
      <c r="P1066">
        <v>15.244999999999999</v>
      </c>
      <c r="Q1066">
        <v>8.0090000000000003</v>
      </c>
      <c r="R1066">
        <v>0</v>
      </c>
      <c r="S1066">
        <v>5</v>
      </c>
    </row>
    <row r="1067" spans="14:19">
      <c r="N1067">
        <v>1066</v>
      </c>
      <c r="O1067">
        <v>0</v>
      </c>
      <c r="P1067">
        <v>15.675000000000001</v>
      </c>
      <c r="Q1067">
        <v>7.9249999999999998</v>
      </c>
      <c r="R1067">
        <v>0</v>
      </c>
      <c r="S1067">
        <v>5</v>
      </c>
    </row>
    <row r="1068" spans="14:19">
      <c r="N1068">
        <v>1067</v>
      </c>
      <c r="O1068">
        <v>0</v>
      </c>
      <c r="P1068">
        <v>15.536</v>
      </c>
      <c r="Q1068">
        <v>7.7859999999999996</v>
      </c>
      <c r="R1068">
        <v>0</v>
      </c>
      <c r="S1068">
        <v>5</v>
      </c>
    </row>
    <row r="1069" spans="14:19">
      <c r="N1069">
        <v>1068</v>
      </c>
      <c r="O1069">
        <v>0</v>
      </c>
      <c r="P1069">
        <v>16.202999999999999</v>
      </c>
      <c r="Q1069">
        <v>7.6340000000000003</v>
      </c>
      <c r="R1069">
        <v>0</v>
      </c>
      <c r="S1069">
        <v>5</v>
      </c>
    </row>
    <row r="1070" spans="14:19">
      <c r="N1070">
        <v>1069</v>
      </c>
      <c r="O1070">
        <v>0</v>
      </c>
      <c r="P1070">
        <v>16.523</v>
      </c>
      <c r="Q1070">
        <v>7.8979999999999997</v>
      </c>
      <c r="R1070">
        <v>0</v>
      </c>
      <c r="S1070">
        <v>5</v>
      </c>
    </row>
    <row r="1071" spans="14:19">
      <c r="N1071">
        <v>1070</v>
      </c>
      <c r="O1071">
        <v>0</v>
      </c>
      <c r="P1071">
        <v>17.3</v>
      </c>
      <c r="Q1071">
        <v>7.1749999999999998</v>
      </c>
      <c r="R1071">
        <v>0</v>
      </c>
      <c r="S1071">
        <v>5</v>
      </c>
    </row>
    <row r="1072" spans="14:19">
      <c r="N1072">
        <v>1071</v>
      </c>
      <c r="O1072">
        <v>0</v>
      </c>
      <c r="P1072">
        <v>18.091999999999999</v>
      </c>
      <c r="Q1072">
        <v>7.1609999999999996</v>
      </c>
      <c r="R1072">
        <v>0</v>
      </c>
      <c r="S1072">
        <v>5</v>
      </c>
    </row>
    <row r="1073" spans="14:19">
      <c r="N1073">
        <v>1072</v>
      </c>
      <c r="O1073">
        <v>0</v>
      </c>
      <c r="P1073">
        <v>18.939</v>
      </c>
      <c r="Q1073">
        <v>7.7030000000000003</v>
      </c>
      <c r="R1073">
        <v>0</v>
      </c>
      <c r="S1073">
        <v>5</v>
      </c>
    </row>
    <row r="1074" spans="14:19">
      <c r="N1074">
        <v>1073</v>
      </c>
      <c r="O1074">
        <v>0</v>
      </c>
      <c r="P1074">
        <v>18.966999999999999</v>
      </c>
      <c r="Q1074">
        <v>8.1059999999999999</v>
      </c>
      <c r="R1074">
        <v>0</v>
      </c>
      <c r="S1074">
        <v>5</v>
      </c>
    </row>
    <row r="1075" spans="14:19">
      <c r="N1075">
        <v>1074</v>
      </c>
      <c r="O1075">
        <v>0</v>
      </c>
      <c r="P1075">
        <v>19.064</v>
      </c>
      <c r="Q1075">
        <v>8.8279999999999994</v>
      </c>
      <c r="R1075">
        <v>0</v>
      </c>
      <c r="S1075">
        <v>5</v>
      </c>
    </row>
    <row r="1076" spans="14:19">
      <c r="N1076">
        <v>1075</v>
      </c>
      <c r="O1076">
        <v>0</v>
      </c>
      <c r="P1076">
        <v>2.2170000000000001</v>
      </c>
      <c r="Q1076">
        <v>9.3979999999999997</v>
      </c>
      <c r="R1076">
        <v>0</v>
      </c>
      <c r="S1076">
        <v>5</v>
      </c>
    </row>
    <row r="1077" spans="14:19">
      <c r="N1077">
        <v>1076</v>
      </c>
      <c r="O1077">
        <v>0</v>
      </c>
      <c r="P1077">
        <v>2.6480000000000001</v>
      </c>
      <c r="Q1077">
        <v>9.4109999999999996</v>
      </c>
      <c r="R1077">
        <v>0</v>
      </c>
      <c r="S1077">
        <v>5</v>
      </c>
    </row>
    <row r="1078" spans="14:19">
      <c r="N1078">
        <v>1077</v>
      </c>
      <c r="O1078">
        <v>0</v>
      </c>
      <c r="P1078">
        <v>2.5230000000000001</v>
      </c>
      <c r="Q1078">
        <v>9.7729999999999997</v>
      </c>
      <c r="R1078">
        <v>0</v>
      </c>
      <c r="S1078">
        <v>5</v>
      </c>
    </row>
    <row r="1079" spans="14:19">
      <c r="N1079">
        <v>1078</v>
      </c>
      <c r="O1079">
        <v>0</v>
      </c>
      <c r="P1079">
        <v>2.4390000000000001</v>
      </c>
      <c r="Q1079">
        <v>9.9109999999999996</v>
      </c>
      <c r="R1079">
        <v>0</v>
      </c>
      <c r="S1079">
        <v>5</v>
      </c>
    </row>
    <row r="1080" spans="14:19">
      <c r="N1080">
        <v>1079</v>
      </c>
      <c r="O1080">
        <v>0</v>
      </c>
      <c r="P1080">
        <v>0.42499999999999999</v>
      </c>
      <c r="Q1080">
        <v>10.202999999999999</v>
      </c>
      <c r="R1080">
        <v>0</v>
      </c>
      <c r="S1080">
        <v>5</v>
      </c>
    </row>
    <row r="1081" spans="14:19">
      <c r="N1081">
        <v>1080</v>
      </c>
      <c r="O1081">
        <v>0</v>
      </c>
      <c r="P1081">
        <v>1.2729999999999999</v>
      </c>
      <c r="Q1081">
        <v>10.244999999999999</v>
      </c>
      <c r="R1081">
        <v>0</v>
      </c>
      <c r="S1081">
        <v>5</v>
      </c>
    </row>
    <row r="1082" spans="14:19">
      <c r="N1082">
        <v>1081</v>
      </c>
      <c r="O1082">
        <v>0</v>
      </c>
      <c r="P1082">
        <v>2.0499999999999998</v>
      </c>
      <c r="Q1082">
        <v>10.259</v>
      </c>
      <c r="R1082">
        <v>0</v>
      </c>
      <c r="S1082">
        <v>5</v>
      </c>
    </row>
    <row r="1083" spans="14:19">
      <c r="N1083">
        <v>1082</v>
      </c>
      <c r="O1083">
        <v>0</v>
      </c>
      <c r="P1083">
        <v>0.88400000000000001</v>
      </c>
      <c r="Q1083">
        <v>10.661</v>
      </c>
      <c r="R1083">
        <v>0</v>
      </c>
      <c r="S1083">
        <v>5</v>
      </c>
    </row>
    <row r="1084" spans="14:19">
      <c r="N1084">
        <v>1083</v>
      </c>
      <c r="O1084">
        <v>0</v>
      </c>
      <c r="P1084">
        <v>0.14799999999999999</v>
      </c>
      <c r="Q1084">
        <v>10.675000000000001</v>
      </c>
      <c r="R1084">
        <v>0</v>
      </c>
      <c r="S1084">
        <v>5</v>
      </c>
    </row>
    <row r="1085" spans="14:19">
      <c r="N1085">
        <v>1084</v>
      </c>
      <c r="O1085">
        <v>0</v>
      </c>
      <c r="P1085">
        <v>1.175</v>
      </c>
      <c r="Q1085">
        <v>10.661</v>
      </c>
      <c r="R1085">
        <v>0</v>
      </c>
      <c r="S1085">
        <v>5</v>
      </c>
    </row>
    <row r="1086" spans="14:19">
      <c r="N1086">
        <v>1085</v>
      </c>
      <c r="O1086">
        <v>0</v>
      </c>
      <c r="P1086">
        <v>1.7450000000000001</v>
      </c>
      <c r="Q1086">
        <v>10.884</v>
      </c>
      <c r="R1086">
        <v>0</v>
      </c>
      <c r="S1086">
        <v>5</v>
      </c>
    </row>
    <row r="1087" spans="14:19">
      <c r="N1087">
        <v>1086</v>
      </c>
      <c r="O1087">
        <v>0</v>
      </c>
      <c r="P1087">
        <v>2.5499999999999998</v>
      </c>
      <c r="Q1087">
        <v>11.036</v>
      </c>
      <c r="R1087">
        <v>0</v>
      </c>
      <c r="S1087">
        <v>5</v>
      </c>
    </row>
    <row r="1088" spans="14:19">
      <c r="N1088">
        <v>1087</v>
      </c>
      <c r="O1088">
        <v>0</v>
      </c>
      <c r="P1088">
        <v>3.7029999999999998</v>
      </c>
      <c r="Q1088">
        <v>10.661</v>
      </c>
      <c r="R1088">
        <v>0</v>
      </c>
      <c r="S1088">
        <v>5</v>
      </c>
    </row>
    <row r="1089" spans="14:19">
      <c r="N1089">
        <v>1088</v>
      </c>
      <c r="O1089">
        <v>0</v>
      </c>
      <c r="P1089">
        <v>5.7859999999999996</v>
      </c>
      <c r="Q1089">
        <v>10.577999999999999</v>
      </c>
      <c r="R1089">
        <v>0</v>
      </c>
      <c r="S1089">
        <v>5</v>
      </c>
    </row>
    <row r="1090" spans="14:19">
      <c r="N1090">
        <v>1089</v>
      </c>
      <c r="O1090">
        <v>0</v>
      </c>
      <c r="P1090">
        <v>6.1059999999999999</v>
      </c>
      <c r="Q1090">
        <v>10.356</v>
      </c>
      <c r="R1090">
        <v>0</v>
      </c>
      <c r="S1090">
        <v>5</v>
      </c>
    </row>
    <row r="1091" spans="14:19">
      <c r="N1091">
        <v>1090</v>
      </c>
      <c r="O1091">
        <v>0</v>
      </c>
      <c r="P1091">
        <v>6.5640000000000001</v>
      </c>
      <c r="Q1091">
        <v>10.009</v>
      </c>
      <c r="R1091">
        <v>0</v>
      </c>
      <c r="S1091">
        <v>5</v>
      </c>
    </row>
    <row r="1092" spans="14:19">
      <c r="N1092">
        <v>1091</v>
      </c>
      <c r="O1092">
        <v>0</v>
      </c>
      <c r="P1092">
        <v>7.0919999999999996</v>
      </c>
      <c r="Q1092">
        <v>10.175000000000001</v>
      </c>
      <c r="R1092">
        <v>0</v>
      </c>
      <c r="S1092">
        <v>5</v>
      </c>
    </row>
    <row r="1093" spans="14:19">
      <c r="N1093">
        <v>1092</v>
      </c>
      <c r="O1093">
        <v>0</v>
      </c>
      <c r="P1093">
        <v>7.7859999999999996</v>
      </c>
      <c r="Q1093">
        <v>10.134</v>
      </c>
      <c r="R1093">
        <v>0</v>
      </c>
      <c r="S1093">
        <v>5</v>
      </c>
    </row>
    <row r="1094" spans="14:19">
      <c r="N1094">
        <v>1093</v>
      </c>
      <c r="O1094">
        <v>0</v>
      </c>
      <c r="P1094">
        <v>8.4949999999999992</v>
      </c>
      <c r="Q1094">
        <v>10.3</v>
      </c>
      <c r="R1094">
        <v>0</v>
      </c>
      <c r="S1094">
        <v>5</v>
      </c>
    </row>
    <row r="1095" spans="14:19">
      <c r="N1095">
        <v>1094</v>
      </c>
      <c r="O1095">
        <v>0</v>
      </c>
      <c r="P1095">
        <v>8.2170000000000005</v>
      </c>
      <c r="Q1095">
        <v>10.648</v>
      </c>
      <c r="R1095">
        <v>0</v>
      </c>
      <c r="S1095">
        <v>5</v>
      </c>
    </row>
    <row r="1096" spans="14:19">
      <c r="N1096">
        <v>1095</v>
      </c>
      <c r="O1096">
        <v>0</v>
      </c>
      <c r="P1096">
        <v>7.6340000000000003</v>
      </c>
      <c r="Q1096">
        <v>10.827999999999999</v>
      </c>
      <c r="R1096">
        <v>0</v>
      </c>
      <c r="S1096">
        <v>5</v>
      </c>
    </row>
    <row r="1097" spans="14:19">
      <c r="N1097">
        <v>1096</v>
      </c>
      <c r="O1097">
        <v>0</v>
      </c>
      <c r="P1097">
        <v>6.7859999999999996</v>
      </c>
      <c r="Q1097">
        <v>10.884</v>
      </c>
      <c r="R1097">
        <v>0</v>
      </c>
      <c r="S1097">
        <v>5</v>
      </c>
    </row>
    <row r="1098" spans="14:19">
      <c r="N1098">
        <v>1097</v>
      </c>
      <c r="O1098">
        <v>0</v>
      </c>
      <c r="P1098">
        <v>6.7309999999999999</v>
      </c>
      <c r="Q1098">
        <v>10.731</v>
      </c>
      <c r="R1098">
        <v>0</v>
      </c>
      <c r="S1098">
        <v>5</v>
      </c>
    </row>
    <row r="1099" spans="14:19">
      <c r="N1099">
        <v>1098</v>
      </c>
      <c r="O1099">
        <v>0</v>
      </c>
      <c r="P1099">
        <v>6.5359999999999996</v>
      </c>
      <c r="Q1099">
        <v>11.509</v>
      </c>
      <c r="R1099">
        <v>0</v>
      </c>
      <c r="S1099">
        <v>5</v>
      </c>
    </row>
    <row r="1100" spans="14:19">
      <c r="N1100">
        <v>1099</v>
      </c>
      <c r="O1100">
        <v>0</v>
      </c>
      <c r="P1100">
        <v>8.1059999999999999</v>
      </c>
      <c r="Q1100">
        <v>11.327999999999999</v>
      </c>
      <c r="R1100">
        <v>0</v>
      </c>
      <c r="S1100">
        <v>5</v>
      </c>
    </row>
    <row r="1101" spans="14:19">
      <c r="N1101">
        <v>1100</v>
      </c>
      <c r="O1101">
        <v>0</v>
      </c>
      <c r="P1101">
        <v>8.6479999999999997</v>
      </c>
      <c r="Q1101">
        <v>11.327999999999999</v>
      </c>
      <c r="R1101">
        <v>0</v>
      </c>
      <c r="S1101">
        <v>5</v>
      </c>
    </row>
    <row r="1102" spans="14:19">
      <c r="N1102">
        <v>1101</v>
      </c>
      <c r="O1102">
        <v>0</v>
      </c>
      <c r="P1102">
        <v>8.8420000000000005</v>
      </c>
      <c r="Q1102">
        <v>11.259</v>
      </c>
      <c r="R1102">
        <v>0</v>
      </c>
      <c r="S1102">
        <v>5</v>
      </c>
    </row>
    <row r="1103" spans="14:19">
      <c r="N1103">
        <v>1102</v>
      </c>
      <c r="O1103">
        <v>0</v>
      </c>
      <c r="P1103">
        <v>8.9109999999999996</v>
      </c>
      <c r="Q1103">
        <v>11.077999999999999</v>
      </c>
      <c r="R1103">
        <v>0</v>
      </c>
      <c r="S1103">
        <v>5</v>
      </c>
    </row>
    <row r="1104" spans="14:19">
      <c r="N1104">
        <v>1103</v>
      </c>
      <c r="O1104">
        <v>0</v>
      </c>
      <c r="P1104">
        <v>9.0640000000000001</v>
      </c>
      <c r="Q1104">
        <v>10.898</v>
      </c>
      <c r="R1104">
        <v>0</v>
      </c>
      <c r="S1104">
        <v>5</v>
      </c>
    </row>
    <row r="1105" spans="14:19">
      <c r="N1105">
        <v>1104</v>
      </c>
      <c r="O1105">
        <v>0</v>
      </c>
      <c r="P1105">
        <v>8.9949999999999992</v>
      </c>
      <c r="Q1105">
        <v>10.648</v>
      </c>
      <c r="R1105">
        <v>0</v>
      </c>
      <c r="S1105">
        <v>5</v>
      </c>
    </row>
    <row r="1106" spans="14:19">
      <c r="N1106">
        <v>1105</v>
      </c>
      <c r="O1106">
        <v>0</v>
      </c>
      <c r="P1106">
        <v>9.4109999999999996</v>
      </c>
      <c r="Q1106">
        <v>10.494999999999999</v>
      </c>
      <c r="R1106">
        <v>0</v>
      </c>
      <c r="S1106">
        <v>5</v>
      </c>
    </row>
    <row r="1107" spans="14:19">
      <c r="N1107">
        <v>1106</v>
      </c>
      <c r="O1107">
        <v>0</v>
      </c>
      <c r="P1107">
        <v>9.8979999999999997</v>
      </c>
      <c r="Q1107">
        <v>10.689</v>
      </c>
      <c r="R1107">
        <v>0</v>
      </c>
      <c r="S1107">
        <v>5</v>
      </c>
    </row>
    <row r="1108" spans="14:19">
      <c r="N1108">
        <v>1107</v>
      </c>
      <c r="O1108">
        <v>0</v>
      </c>
      <c r="P1108">
        <v>9.6340000000000003</v>
      </c>
      <c r="Q1108">
        <v>10.119999999999999</v>
      </c>
      <c r="R1108">
        <v>0</v>
      </c>
      <c r="S1108">
        <v>5</v>
      </c>
    </row>
    <row r="1109" spans="14:19">
      <c r="N1109">
        <v>1108</v>
      </c>
      <c r="O1109">
        <v>0</v>
      </c>
      <c r="P1109">
        <v>9.9949999999999992</v>
      </c>
      <c r="Q1109">
        <v>10.244999999999999</v>
      </c>
      <c r="R1109">
        <v>0</v>
      </c>
      <c r="S1109">
        <v>5</v>
      </c>
    </row>
    <row r="1110" spans="14:19">
      <c r="N1110">
        <v>1109</v>
      </c>
      <c r="O1110">
        <v>0</v>
      </c>
      <c r="P1110">
        <v>10.494999999999999</v>
      </c>
      <c r="Q1110">
        <v>10.092000000000001</v>
      </c>
      <c r="R1110">
        <v>0</v>
      </c>
      <c r="S1110">
        <v>5</v>
      </c>
    </row>
    <row r="1111" spans="14:19">
      <c r="N1111">
        <v>1110</v>
      </c>
      <c r="O1111">
        <v>0</v>
      </c>
      <c r="P1111">
        <v>10.702999999999999</v>
      </c>
      <c r="Q1111">
        <v>9.7449999999999992</v>
      </c>
      <c r="R1111">
        <v>0</v>
      </c>
      <c r="S1111">
        <v>5</v>
      </c>
    </row>
    <row r="1112" spans="14:19">
      <c r="N1112">
        <v>1111</v>
      </c>
      <c r="O1112">
        <v>0</v>
      </c>
      <c r="P1112">
        <v>10.744999999999999</v>
      </c>
      <c r="Q1112">
        <v>9.4949999999999992</v>
      </c>
      <c r="R1112">
        <v>0</v>
      </c>
      <c r="S1112">
        <v>5</v>
      </c>
    </row>
    <row r="1113" spans="14:19">
      <c r="N1113">
        <v>1112</v>
      </c>
      <c r="O1113">
        <v>0</v>
      </c>
      <c r="P1113">
        <v>11.759</v>
      </c>
      <c r="Q1113">
        <v>9.6199999999999992</v>
      </c>
      <c r="R1113">
        <v>0</v>
      </c>
      <c r="S1113">
        <v>5</v>
      </c>
    </row>
    <row r="1114" spans="14:19">
      <c r="N1114">
        <v>1113</v>
      </c>
      <c r="O1114">
        <v>0</v>
      </c>
      <c r="P1114">
        <v>11.577999999999999</v>
      </c>
      <c r="Q1114">
        <v>9.7309999999999999</v>
      </c>
      <c r="R1114">
        <v>0</v>
      </c>
      <c r="S1114">
        <v>5</v>
      </c>
    </row>
    <row r="1115" spans="14:19">
      <c r="N1115">
        <v>1114</v>
      </c>
      <c r="O1115">
        <v>0</v>
      </c>
      <c r="P1115">
        <v>12.12</v>
      </c>
      <c r="Q1115">
        <v>9.6199999999999992</v>
      </c>
      <c r="R1115">
        <v>0</v>
      </c>
      <c r="S1115">
        <v>5</v>
      </c>
    </row>
    <row r="1116" spans="14:19">
      <c r="N1116">
        <v>1115</v>
      </c>
      <c r="O1116">
        <v>0</v>
      </c>
      <c r="P1116">
        <v>12.327999999999999</v>
      </c>
      <c r="Q1116">
        <v>9.5640000000000001</v>
      </c>
      <c r="R1116">
        <v>0</v>
      </c>
      <c r="S1116">
        <v>5</v>
      </c>
    </row>
    <row r="1117" spans="14:19">
      <c r="N1117">
        <v>1116</v>
      </c>
      <c r="O1117">
        <v>0</v>
      </c>
      <c r="P1117">
        <v>12.523</v>
      </c>
      <c r="Q1117">
        <v>9.5779999999999994</v>
      </c>
      <c r="R1117">
        <v>0</v>
      </c>
      <c r="S1117">
        <v>5</v>
      </c>
    </row>
    <row r="1118" spans="14:19">
      <c r="N1118">
        <v>1117</v>
      </c>
      <c r="O1118">
        <v>0</v>
      </c>
      <c r="P1118">
        <v>12.523</v>
      </c>
      <c r="Q1118">
        <v>9.1609999999999996</v>
      </c>
      <c r="R1118">
        <v>0</v>
      </c>
      <c r="S1118">
        <v>5</v>
      </c>
    </row>
    <row r="1119" spans="14:19">
      <c r="N1119">
        <v>1118</v>
      </c>
      <c r="O1119">
        <v>0</v>
      </c>
      <c r="P1119">
        <v>12.286</v>
      </c>
      <c r="Q1119">
        <v>10.134</v>
      </c>
      <c r="R1119">
        <v>0</v>
      </c>
      <c r="S1119">
        <v>5</v>
      </c>
    </row>
    <row r="1120" spans="14:19">
      <c r="N1120">
        <v>1119</v>
      </c>
      <c r="O1120">
        <v>0</v>
      </c>
      <c r="P1120">
        <v>11.827999999999999</v>
      </c>
      <c r="Q1120">
        <v>10.064</v>
      </c>
      <c r="R1120">
        <v>0</v>
      </c>
      <c r="S1120">
        <v>5</v>
      </c>
    </row>
    <row r="1121" spans="14:19">
      <c r="N1121">
        <v>1120</v>
      </c>
      <c r="O1121">
        <v>0</v>
      </c>
      <c r="P1121">
        <v>11.148</v>
      </c>
      <c r="Q1121">
        <v>10.286</v>
      </c>
      <c r="R1121">
        <v>0</v>
      </c>
      <c r="S1121">
        <v>5</v>
      </c>
    </row>
    <row r="1122" spans="14:19">
      <c r="N1122">
        <v>1121</v>
      </c>
      <c r="O1122">
        <v>0</v>
      </c>
      <c r="P1122">
        <v>11.092000000000001</v>
      </c>
      <c r="Q1122">
        <v>10.398</v>
      </c>
      <c r="R1122">
        <v>0</v>
      </c>
      <c r="S1122">
        <v>5</v>
      </c>
    </row>
    <row r="1123" spans="14:19">
      <c r="N1123">
        <v>1122</v>
      </c>
      <c r="O1123">
        <v>0</v>
      </c>
      <c r="P1123">
        <v>11.023</v>
      </c>
      <c r="Q1123">
        <v>10.592000000000001</v>
      </c>
      <c r="R1123">
        <v>0</v>
      </c>
      <c r="S1123">
        <v>5</v>
      </c>
    </row>
    <row r="1124" spans="14:19">
      <c r="N1124">
        <v>1123</v>
      </c>
      <c r="O1124">
        <v>0</v>
      </c>
      <c r="P1124">
        <v>10.759</v>
      </c>
      <c r="Q1124">
        <v>10.925000000000001</v>
      </c>
      <c r="R1124">
        <v>0</v>
      </c>
      <c r="S1124">
        <v>5</v>
      </c>
    </row>
    <row r="1125" spans="14:19">
      <c r="N1125">
        <v>1124</v>
      </c>
      <c r="O1125">
        <v>0</v>
      </c>
      <c r="P1125">
        <v>10.62</v>
      </c>
      <c r="Q1125">
        <v>11.106</v>
      </c>
      <c r="R1125">
        <v>0</v>
      </c>
      <c r="S1125">
        <v>5</v>
      </c>
    </row>
    <row r="1126" spans="14:19">
      <c r="N1126">
        <v>1125</v>
      </c>
      <c r="O1126">
        <v>0</v>
      </c>
      <c r="P1126">
        <v>10.314</v>
      </c>
      <c r="Q1126">
        <v>11.398</v>
      </c>
      <c r="R1126">
        <v>0</v>
      </c>
      <c r="S1126">
        <v>5</v>
      </c>
    </row>
    <row r="1127" spans="14:19">
      <c r="N1127">
        <v>1126</v>
      </c>
      <c r="O1127">
        <v>0</v>
      </c>
      <c r="P1127">
        <v>9.8979999999999997</v>
      </c>
      <c r="Q1127">
        <v>11.244999999999999</v>
      </c>
      <c r="R1127">
        <v>0</v>
      </c>
      <c r="S1127">
        <v>5</v>
      </c>
    </row>
    <row r="1128" spans="14:19">
      <c r="N1128">
        <v>1127</v>
      </c>
      <c r="O1128">
        <v>0</v>
      </c>
      <c r="P1128">
        <v>9.6199999999999992</v>
      </c>
      <c r="Q1128">
        <v>11.231</v>
      </c>
      <c r="R1128">
        <v>0</v>
      </c>
      <c r="S1128">
        <v>5</v>
      </c>
    </row>
    <row r="1129" spans="14:19">
      <c r="N1129">
        <v>1128</v>
      </c>
      <c r="O1129">
        <v>0</v>
      </c>
      <c r="P1129">
        <v>10.773</v>
      </c>
      <c r="Q1129">
        <v>11.425000000000001</v>
      </c>
      <c r="R1129">
        <v>0</v>
      </c>
      <c r="S1129">
        <v>5</v>
      </c>
    </row>
    <row r="1130" spans="14:19">
      <c r="N1130">
        <v>1129</v>
      </c>
      <c r="O1130">
        <v>0</v>
      </c>
      <c r="P1130">
        <v>11.286</v>
      </c>
      <c r="Q1130">
        <v>11.439</v>
      </c>
      <c r="R1130">
        <v>0</v>
      </c>
      <c r="S1130">
        <v>5</v>
      </c>
    </row>
    <row r="1131" spans="14:19">
      <c r="N1131">
        <v>1130</v>
      </c>
      <c r="O1131">
        <v>0</v>
      </c>
      <c r="P1131">
        <v>11.87</v>
      </c>
      <c r="Q1131">
        <v>11.689</v>
      </c>
      <c r="R1131">
        <v>0</v>
      </c>
      <c r="S1131">
        <v>5</v>
      </c>
    </row>
    <row r="1132" spans="14:19">
      <c r="N1132">
        <v>1131</v>
      </c>
      <c r="O1132">
        <v>0</v>
      </c>
      <c r="P1132">
        <v>12.148</v>
      </c>
      <c r="Q1132">
        <v>11.481</v>
      </c>
      <c r="R1132">
        <v>0</v>
      </c>
      <c r="S1132">
        <v>5</v>
      </c>
    </row>
    <row r="1133" spans="14:19">
      <c r="N1133">
        <v>1132</v>
      </c>
      <c r="O1133">
        <v>0</v>
      </c>
      <c r="P1133">
        <v>12.55</v>
      </c>
      <c r="Q1133">
        <v>11.356</v>
      </c>
      <c r="R1133">
        <v>0</v>
      </c>
      <c r="S1133">
        <v>5</v>
      </c>
    </row>
    <row r="1134" spans="14:19">
      <c r="N1134">
        <v>1133</v>
      </c>
      <c r="O1134">
        <v>0</v>
      </c>
      <c r="P1134">
        <v>13.356</v>
      </c>
      <c r="Q1134">
        <v>11.356</v>
      </c>
      <c r="R1134">
        <v>0</v>
      </c>
      <c r="S1134">
        <v>5</v>
      </c>
    </row>
    <row r="1135" spans="14:19">
      <c r="N1135">
        <v>1134</v>
      </c>
      <c r="O1135">
        <v>0</v>
      </c>
      <c r="P1135">
        <v>13.467000000000001</v>
      </c>
      <c r="Q1135">
        <v>11.55</v>
      </c>
      <c r="R1135">
        <v>0</v>
      </c>
      <c r="S1135">
        <v>5</v>
      </c>
    </row>
    <row r="1136" spans="14:19">
      <c r="N1136">
        <v>1135</v>
      </c>
      <c r="O1136">
        <v>0</v>
      </c>
      <c r="P1136">
        <v>11.634</v>
      </c>
      <c r="Q1136">
        <v>11.175000000000001</v>
      </c>
      <c r="R1136">
        <v>0</v>
      </c>
      <c r="S1136">
        <v>5</v>
      </c>
    </row>
    <row r="1137" spans="14:19">
      <c r="N1137">
        <v>1136</v>
      </c>
      <c r="O1137">
        <v>0</v>
      </c>
      <c r="P1137">
        <v>11.898</v>
      </c>
      <c r="Q1137">
        <v>10.8</v>
      </c>
      <c r="R1137">
        <v>0</v>
      </c>
      <c r="S1137">
        <v>5</v>
      </c>
    </row>
    <row r="1138" spans="14:19">
      <c r="N1138">
        <v>1137</v>
      </c>
      <c r="O1138">
        <v>0</v>
      </c>
      <c r="P1138">
        <v>11.717000000000001</v>
      </c>
      <c r="Q1138">
        <v>10.661</v>
      </c>
      <c r="R1138">
        <v>0</v>
      </c>
      <c r="S1138">
        <v>5</v>
      </c>
    </row>
    <row r="1139" spans="14:19">
      <c r="N1139">
        <v>1138</v>
      </c>
      <c r="O1139">
        <v>0</v>
      </c>
      <c r="P1139">
        <v>12.009</v>
      </c>
      <c r="Q1139">
        <v>10.384</v>
      </c>
      <c r="R1139">
        <v>0</v>
      </c>
      <c r="S1139">
        <v>5</v>
      </c>
    </row>
    <row r="1140" spans="14:19">
      <c r="N1140">
        <v>1139</v>
      </c>
      <c r="O1140">
        <v>0</v>
      </c>
      <c r="P1140">
        <v>12.994999999999999</v>
      </c>
      <c r="Q1140">
        <v>10.148</v>
      </c>
      <c r="R1140">
        <v>0</v>
      </c>
      <c r="S1140">
        <v>5</v>
      </c>
    </row>
    <row r="1141" spans="14:19">
      <c r="N1141">
        <v>1140</v>
      </c>
      <c r="O1141">
        <v>0</v>
      </c>
      <c r="P1141">
        <v>13.398</v>
      </c>
      <c r="Q1141">
        <v>10.175000000000001</v>
      </c>
      <c r="R1141">
        <v>0</v>
      </c>
      <c r="S1141">
        <v>5</v>
      </c>
    </row>
    <row r="1142" spans="14:19">
      <c r="N1142">
        <v>1141</v>
      </c>
      <c r="O1142">
        <v>0</v>
      </c>
      <c r="P1142">
        <v>13.898</v>
      </c>
      <c r="Q1142">
        <v>10.050000000000001</v>
      </c>
      <c r="R1142">
        <v>0</v>
      </c>
      <c r="S1142">
        <v>5</v>
      </c>
    </row>
    <row r="1143" spans="14:19">
      <c r="N1143">
        <v>1142</v>
      </c>
      <c r="O1143">
        <v>0</v>
      </c>
      <c r="P1143">
        <v>13.911</v>
      </c>
      <c r="Q1143">
        <v>10.050000000000001</v>
      </c>
      <c r="R1143">
        <v>0</v>
      </c>
      <c r="S1143">
        <v>5</v>
      </c>
    </row>
    <row r="1144" spans="14:19">
      <c r="N1144">
        <v>1143</v>
      </c>
      <c r="O1144">
        <v>0</v>
      </c>
      <c r="P1144">
        <v>13.12</v>
      </c>
      <c r="Q1144">
        <v>10.773</v>
      </c>
      <c r="R1144">
        <v>0</v>
      </c>
      <c r="S1144">
        <v>5</v>
      </c>
    </row>
    <row r="1145" spans="14:19">
      <c r="N1145">
        <v>1144</v>
      </c>
      <c r="O1145">
        <v>0</v>
      </c>
      <c r="P1145">
        <v>12.759</v>
      </c>
      <c r="Q1145">
        <v>10.981</v>
      </c>
      <c r="R1145">
        <v>0</v>
      </c>
      <c r="S1145">
        <v>5</v>
      </c>
    </row>
    <row r="1146" spans="14:19">
      <c r="N1146">
        <v>1145</v>
      </c>
      <c r="O1146">
        <v>0</v>
      </c>
      <c r="P1146">
        <v>14.12</v>
      </c>
      <c r="Q1146">
        <v>10.398</v>
      </c>
      <c r="R1146">
        <v>0</v>
      </c>
      <c r="S1146">
        <v>5</v>
      </c>
    </row>
    <row r="1147" spans="14:19">
      <c r="N1147">
        <v>1146</v>
      </c>
      <c r="O1147">
        <v>0</v>
      </c>
      <c r="P1147">
        <v>13.856</v>
      </c>
      <c r="Q1147">
        <v>10.786</v>
      </c>
      <c r="R1147">
        <v>0</v>
      </c>
      <c r="S1147">
        <v>5</v>
      </c>
    </row>
    <row r="1148" spans="14:19">
      <c r="N1148">
        <v>1147</v>
      </c>
      <c r="O1148">
        <v>0</v>
      </c>
      <c r="P1148">
        <v>14.439</v>
      </c>
      <c r="Q1148">
        <v>10.759</v>
      </c>
      <c r="R1148">
        <v>0</v>
      </c>
      <c r="S1148">
        <v>5</v>
      </c>
    </row>
    <row r="1149" spans="14:19">
      <c r="N1149">
        <v>1148</v>
      </c>
      <c r="O1149">
        <v>0</v>
      </c>
      <c r="P1149">
        <v>14.925000000000001</v>
      </c>
      <c r="Q1149">
        <v>10.55</v>
      </c>
      <c r="R1149">
        <v>0</v>
      </c>
      <c r="S1149">
        <v>5</v>
      </c>
    </row>
    <row r="1150" spans="14:19">
      <c r="N1150">
        <v>1149</v>
      </c>
      <c r="O1150">
        <v>0</v>
      </c>
      <c r="P1150">
        <v>14.981</v>
      </c>
      <c r="Q1150">
        <v>10.286</v>
      </c>
      <c r="R1150">
        <v>0</v>
      </c>
      <c r="S1150">
        <v>5</v>
      </c>
    </row>
    <row r="1151" spans="14:19">
      <c r="N1151">
        <v>1150</v>
      </c>
      <c r="O1151">
        <v>0</v>
      </c>
      <c r="P1151">
        <v>15.675000000000001</v>
      </c>
      <c r="Q1151">
        <v>10.731</v>
      </c>
      <c r="R1151">
        <v>0</v>
      </c>
      <c r="S1151">
        <v>5</v>
      </c>
    </row>
    <row r="1152" spans="14:19">
      <c r="N1152">
        <v>1151</v>
      </c>
      <c r="O1152">
        <v>0</v>
      </c>
      <c r="P1152">
        <v>15.356</v>
      </c>
      <c r="Q1152">
        <v>10.842000000000001</v>
      </c>
      <c r="R1152">
        <v>0</v>
      </c>
      <c r="S1152">
        <v>5</v>
      </c>
    </row>
    <row r="1153" spans="14:19">
      <c r="N1153">
        <v>1152</v>
      </c>
      <c r="O1153">
        <v>0</v>
      </c>
      <c r="P1153">
        <v>15.092000000000001</v>
      </c>
      <c r="Q1153">
        <v>11.064</v>
      </c>
      <c r="R1153">
        <v>0</v>
      </c>
      <c r="S1153">
        <v>5</v>
      </c>
    </row>
    <row r="1154" spans="14:19">
      <c r="N1154">
        <v>1153</v>
      </c>
      <c r="O1154">
        <v>0</v>
      </c>
      <c r="P1154">
        <v>14.12</v>
      </c>
      <c r="Q1154">
        <v>11.161</v>
      </c>
      <c r="R1154">
        <v>0</v>
      </c>
      <c r="S1154">
        <v>5</v>
      </c>
    </row>
    <row r="1155" spans="14:19">
      <c r="N1155">
        <v>1154</v>
      </c>
      <c r="O1155">
        <v>0</v>
      </c>
      <c r="P1155">
        <v>14.314</v>
      </c>
      <c r="Q1155">
        <v>11.425000000000001</v>
      </c>
      <c r="R1155">
        <v>0</v>
      </c>
      <c r="S1155">
        <v>5</v>
      </c>
    </row>
    <row r="1156" spans="14:19">
      <c r="N1156">
        <v>1155</v>
      </c>
      <c r="O1156">
        <v>0</v>
      </c>
      <c r="P1156">
        <v>14.217000000000001</v>
      </c>
      <c r="Q1156">
        <v>11.62</v>
      </c>
      <c r="R1156">
        <v>0</v>
      </c>
      <c r="S1156">
        <v>5</v>
      </c>
    </row>
    <row r="1157" spans="14:19">
      <c r="N1157">
        <v>1156</v>
      </c>
      <c r="O1157">
        <v>0</v>
      </c>
      <c r="P1157">
        <v>14.523</v>
      </c>
      <c r="Q1157">
        <v>11.702999999999999</v>
      </c>
      <c r="R1157">
        <v>0</v>
      </c>
      <c r="S1157">
        <v>5</v>
      </c>
    </row>
    <row r="1158" spans="14:19">
      <c r="N1158">
        <v>1157</v>
      </c>
      <c r="O1158">
        <v>0</v>
      </c>
      <c r="P1158">
        <v>14.981</v>
      </c>
      <c r="Q1158">
        <v>11.661</v>
      </c>
      <c r="R1158">
        <v>0</v>
      </c>
      <c r="S1158">
        <v>5</v>
      </c>
    </row>
    <row r="1159" spans="14:19">
      <c r="N1159">
        <v>1158</v>
      </c>
      <c r="O1159">
        <v>0</v>
      </c>
      <c r="P1159">
        <v>15.661</v>
      </c>
      <c r="Q1159">
        <v>11.702999999999999</v>
      </c>
      <c r="R1159">
        <v>0</v>
      </c>
      <c r="S1159">
        <v>5</v>
      </c>
    </row>
    <row r="1160" spans="14:19">
      <c r="N1160">
        <v>1159</v>
      </c>
      <c r="O1160">
        <v>0</v>
      </c>
      <c r="P1160">
        <v>16.509</v>
      </c>
      <c r="Q1160">
        <v>10.827999999999999</v>
      </c>
      <c r="R1160">
        <v>0</v>
      </c>
      <c r="S1160">
        <v>5</v>
      </c>
    </row>
    <row r="1161" spans="14:19">
      <c r="N1161">
        <v>1160</v>
      </c>
      <c r="O1161">
        <v>0</v>
      </c>
      <c r="P1161">
        <v>16.286000000000001</v>
      </c>
      <c r="Q1161">
        <v>10.952999999999999</v>
      </c>
      <c r="R1161">
        <v>0</v>
      </c>
      <c r="S1161">
        <v>5</v>
      </c>
    </row>
    <row r="1162" spans="14:19">
      <c r="N1162">
        <v>1161</v>
      </c>
      <c r="O1162">
        <v>0</v>
      </c>
      <c r="P1162">
        <v>16.495000000000001</v>
      </c>
      <c r="Q1162">
        <v>11.134</v>
      </c>
      <c r="R1162">
        <v>0</v>
      </c>
      <c r="S1162">
        <v>5</v>
      </c>
    </row>
    <row r="1163" spans="14:19">
      <c r="N1163">
        <v>1162</v>
      </c>
      <c r="O1163">
        <v>0</v>
      </c>
      <c r="P1163">
        <v>17.077999999999999</v>
      </c>
      <c r="Q1163">
        <v>10.939</v>
      </c>
      <c r="R1163">
        <v>0</v>
      </c>
      <c r="S1163">
        <v>5</v>
      </c>
    </row>
    <row r="1164" spans="14:19">
      <c r="N1164">
        <v>1163</v>
      </c>
      <c r="O1164">
        <v>0</v>
      </c>
      <c r="P1164">
        <v>17.189</v>
      </c>
      <c r="Q1164">
        <v>10.717000000000001</v>
      </c>
      <c r="R1164">
        <v>0</v>
      </c>
      <c r="S1164">
        <v>5</v>
      </c>
    </row>
    <row r="1165" spans="14:19">
      <c r="N1165">
        <v>1164</v>
      </c>
      <c r="O1165">
        <v>0</v>
      </c>
      <c r="P1165">
        <v>16.966999999999999</v>
      </c>
      <c r="Q1165">
        <v>10.731</v>
      </c>
      <c r="R1165">
        <v>0</v>
      </c>
      <c r="S1165">
        <v>5</v>
      </c>
    </row>
    <row r="1166" spans="14:19">
      <c r="N1166">
        <v>1165</v>
      </c>
      <c r="O1166">
        <v>0</v>
      </c>
      <c r="P1166">
        <v>17.995000000000001</v>
      </c>
      <c r="Q1166">
        <v>10.731</v>
      </c>
      <c r="R1166">
        <v>0</v>
      </c>
      <c r="S1166">
        <v>5</v>
      </c>
    </row>
    <row r="1167" spans="14:19">
      <c r="N1167">
        <v>1166</v>
      </c>
      <c r="O1167">
        <v>0</v>
      </c>
      <c r="P1167">
        <v>18.452999999999999</v>
      </c>
      <c r="Q1167">
        <v>10.939</v>
      </c>
      <c r="R1167">
        <v>0</v>
      </c>
      <c r="S1167">
        <v>5</v>
      </c>
    </row>
    <row r="1168" spans="14:19">
      <c r="N1168">
        <v>1167</v>
      </c>
      <c r="O1168">
        <v>0</v>
      </c>
      <c r="P1168">
        <v>18.856000000000002</v>
      </c>
      <c r="Q1168">
        <v>10.87</v>
      </c>
      <c r="R1168">
        <v>0</v>
      </c>
      <c r="S1168">
        <v>5</v>
      </c>
    </row>
    <row r="1169" spans="14:19">
      <c r="N1169">
        <v>1168</v>
      </c>
      <c r="O1169">
        <v>0</v>
      </c>
      <c r="P1169">
        <v>19.495000000000001</v>
      </c>
      <c r="Q1169">
        <v>10.564</v>
      </c>
      <c r="R1169">
        <v>0</v>
      </c>
      <c r="S1169">
        <v>5</v>
      </c>
    </row>
    <row r="1170" spans="14:19">
      <c r="N1170">
        <v>1169</v>
      </c>
      <c r="O1170">
        <v>0</v>
      </c>
      <c r="P1170">
        <v>19.716999999999999</v>
      </c>
      <c r="Q1170">
        <v>11.036</v>
      </c>
      <c r="R1170">
        <v>0</v>
      </c>
      <c r="S1170">
        <v>5</v>
      </c>
    </row>
    <row r="1171" spans="14:19">
      <c r="N1171">
        <v>1170</v>
      </c>
      <c r="O1171">
        <v>0</v>
      </c>
      <c r="P1171">
        <v>19.689</v>
      </c>
      <c r="Q1171">
        <v>11.327999999999999</v>
      </c>
      <c r="R1171">
        <v>0</v>
      </c>
      <c r="S1171">
        <v>5</v>
      </c>
    </row>
    <row r="1172" spans="14:19">
      <c r="N1172">
        <v>1171</v>
      </c>
      <c r="O1172">
        <v>0</v>
      </c>
      <c r="P1172">
        <v>19.189</v>
      </c>
      <c r="Q1172">
        <v>11.411</v>
      </c>
      <c r="R1172">
        <v>0</v>
      </c>
      <c r="S1172">
        <v>5</v>
      </c>
    </row>
    <row r="1173" spans="14:19">
      <c r="N1173">
        <v>1172</v>
      </c>
      <c r="O1173">
        <v>0</v>
      </c>
      <c r="P1173">
        <v>18.481000000000002</v>
      </c>
      <c r="Q1173">
        <v>11.592000000000001</v>
      </c>
      <c r="R1173">
        <v>0</v>
      </c>
      <c r="S1173">
        <v>5</v>
      </c>
    </row>
    <row r="1174" spans="14:19">
      <c r="N1174">
        <v>1173</v>
      </c>
      <c r="O1174">
        <v>0</v>
      </c>
      <c r="P1174">
        <v>17.62</v>
      </c>
      <c r="Q1174">
        <v>11.773</v>
      </c>
      <c r="R1174">
        <v>0</v>
      </c>
      <c r="S1174">
        <v>5</v>
      </c>
    </row>
    <row r="1175" spans="14:19">
      <c r="N1175">
        <v>1174</v>
      </c>
      <c r="O1175">
        <v>0</v>
      </c>
      <c r="P1175">
        <v>16.939</v>
      </c>
      <c r="Q1175">
        <v>11.773</v>
      </c>
      <c r="R1175">
        <v>0</v>
      </c>
      <c r="S1175">
        <v>5</v>
      </c>
    </row>
    <row r="1176" spans="14:19">
      <c r="N1176">
        <v>1175</v>
      </c>
      <c r="O1176">
        <v>0</v>
      </c>
      <c r="P1176">
        <v>18.175000000000001</v>
      </c>
      <c r="Q1176">
        <v>11.952999999999999</v>
      </c>
      <c r="R1176">
        <v>0</v>
      </c>
      <c r="S1176">
        <v>5</v>
      </c>
    </row>
    <row r="1177" spans="14:19">
      <c r="N1177">
        <v>1176</v>
      </c>
      <c r="O1177">
        <v>0</v>
      </c>
      <c r="P1177">
        <v>17.55</v>
      </c>
      <c r="Q1177">
        <v>12.092000000000001</v>
      </c>
      <c r="R1177">
        <v>0</v>
      </c>
      <c r="S1177">
        <v>5</v>
      </c>
    </row>
    <row r="1178" spans="14:19">
      <c r="N1178">
        <v>1177</v>
      </c>
      <c r="O1178">
        <v>0</v>
      </c>
      <c r="P1178">
        <v>16.466999999999999</v>
      </c>
      <c r="Q1178">
        <v>12.077999999999999</v>
      </c>
      <c r="R1178">
        <v>0</v>
      </c>
      <c r="S1178">
        <v>5</v>
      </c>
    </row>
    <row r="1179" spans="14:19">
      <c r="N1179">
        <v>1178</v>
      </c>
      <c r="O1179">
        <v>0</v>
      </c>
      <c r="P1179">
        <v>15.87</v>
      </c>
      <c r="Q1179">
        <v>12.259</v>
      </c>
      <c r="R1179">
        <v>0</v>
      </c>
      <c r="S1179">
        <v>5</v>
      </c>
    </row>
    <row r="1180" spans="14:19">
      <c r="N1180">
        <v>1179</v>
      </c>
      <c r="O1180">
        <v>0</v>
      </c>
      <c r="P1180">
        <v>13.773</v>
      </c>
      <c r="Q1180">
        <v>12.106</v>
      </c>
      <c r="R1180">
        <v>0</v>
      </c>
      <c r="S1180">
        <v>5</v>
      </c>
    </row>
    <row r="1181" spans="14:19">
      <c r="N1181">
        <v>1180</v>
      </c>
      <c r="O1181">
        <v>0</v>
      </c>
      <c r="P1181">
        <v>0.217</v>
      </c>
      <c r="Q1181">
        <v>2.7170000000000001</v>
      </c>
      <c r="R1181">
        <v>0</v>
      </c>
      <c r="S1181">
        <v>6</v>
      </c>
    </row>
    <row r="1182" spans="14:19">
      <c r="N1182">
        <v>1181</v>
      </c>
      <c r="O1182">
        <v>0</v>
      </c>
      <c r="P1182">
        <v>0.62</v>
      </c>
      <c r="Q1182">
        <v>2.6749999999999998</v>
      </c>
      <c r="R1182">
        <v>0</v>
      </c>
      <c r="S1182">
        <v>6</v>
      </c>
    </row>
    <row r="1183" spans="14:19">
      <c r="N1183">
        <v>1182</v>
      </c>
      <c r="O1183">
        <v>0</v>
      </c>
      <c r="P1183">
        <v>0.98099999999999998</v>
      </c>
      <c r="Q1183">
        <v>2.3980000000000001</v>
      </c>
      <c r="R1183">
        <v>0</v>
      </c>
      <c r="S1183">
        <v>6</v>
      </c>
    </row>
    <row r="1184" spans="14:19">
      <c r="N1184">
        <v>1183</v>
      </c>
      <c r="O1184">
        <v>0</v>
      </c>
      <c r="P1184">
        <v>1.7729999999999999</v>
      </c>
      <c r="Q1184">
        <v>2.5640000000000001</v>
      </c>
      <c r="R1184">
        <v>0</v>
      </c>
      <c r="S1184">
        <v>6</v>
      </c>
    </row>
    <row r="1185" spans="14:19">
      <c r="N1185">
        <v>1184</v>
      </c>
      <c r="O1185">
        <v>0</v>
      </c>
      <c r="P1185">
        <v>2.3420000000000001</v>
      </c>
      <c r="Q1185">
        <v>2.5779999999999998</v>
      </c>
      <c r="R1185">
        <v>0</v>
      </c>
      <c r="S1185">
        <v>6</v>
      </c>
    </row>
    <row r="1186" spans="14:19">
      <c r="N1186">
        <v>1185</v>
      </c>
      <c r="O1186">
        <v>0</v>
      </c>
      <c r="P1186">
        <v>2.411</v>
      </c>
      <c r="Q1186">
        <v>2.9809999999999999</v>
      </c>
      <c r="R1186">
        <v>0</v>
      </c>
      <c r="S1186">
        <v>6</v>
      </c>
    </row>
    <row r="1187" spans="14:19">
      <c r="N1187">
        <v>1186</v>
      </c>
      <c r="O1187">
        <v>0</v>
      </c>
      <c r="P1187">
        <v>1.7589999999999999</v>
      </c>
      <c r="Q1187">
        <v>3.1059999999999999</v>
      </c>
      <c r="R1187">
        <v>0</v>
      </c>
      <c r="S1187">
        <v>6</v>
      </c>
    </row>
    <row r="1188" spans="14:19">
      <c r="N1188">
        <v>1187</v>
      </c>
      <c r="O1188">
        <v>0</v>
      </c>
      <c r="P1188">
        <v>1.0780000000000001</v>
      </c>
      <c r="Q1188">
        <v>2.9670000000000001</v>
      </c>
      <c r="R1188">
        <v>0</v>
      </c>
      <c r="S1188">
        <v>6</v>
      </c>
    </row>
    <row r="1189" spans="14:19">
      <c r="N1189">
        <v>1188</v>
      </c>
      <c r="O1189">
        <v>0</v>
      </c>
      <c r="P1189">
        <v>0.45300000000000001</v>
      </c>
      <c r="Q1189">
        <v>3.2309999999999999</v>
      </c>
      <c r="R1189">
        <v>0</v>
      </c>
      <c r="S1189">
        <v>6</v>
      </c>
    </row>
    <row r="1190" spans="14:19">
      <c r="N1190">
        <v>1189</v>
      </c>
      <c r="O1190">
        <v>0</v>
      </c>
      <c r="P1190">
        <v>0.314</v>
      </c>
      <c r="Q1190">
        <v>3.4390000000000001</v>
      </c>
      <c r="R1190">
        <v>0</v>
      </c>
      <c r="S1190">
        <v>6</v>
      </c>
    </row>
    <row r="1191" spans="14:19">
      <c r="N1191">
        <v>1190</v>
      </c>
      <c r="O1191">
        <v>0</v>
      </c>
      <c r="P1191">
        <v>0.314</v>
      </c>
      <c r="Q1191">
        <v>3.8559999999999999</v>
      </c>
      <c r="R1191">
        <v>0</v>
      </c>
      <c r="S1191">
        <v>6</v>
      </c>
    </row>
    <row r="1192" spans="14:19">
      <c r="N1192">
        <v>1191</v>
      </c>
      <c r="O1192">
        <v>0</v>
      </c>
      <c r="P1192">
        <v>0.13400000000000001</v>
      </c>
      <c r="Q1192">
        <v>3.9670000000000001</v>
      </c>
      <c r="R1192">
        <v>0</v>
      </c>
      <c r="S1192">
        <v>6</v>
      </c>
    </row>
    <row r="1193" spans="14:19">
      <c r="N1193">
        <v>1192</v>
      </c>
      <c r="O1193">
        <v>0</v>
      </c>
      <c r="P1193">
        <v>0.28599999999999998</v>
      </c>
      <c r="Q1193">
        <v>4.2309999999999999</v>
      </c>
      <c r="R1193">
        <v>0</v>
      </c>
      <c r="S1193">
        <v>6</v>
      </c>
    </row>
    <row r="1194" spans="14:19">
      <c r="N1194">
        <v>1193</v>
      </c>
      <c r="O1194">
        <v>0</v>
      </c>
      <c r="P1194">
        <v>0.89800000000000002</v>
      </c>
      <c r="Q1194">
        <v>4.1609999999999996</v>
      </c>
      <c r="R1194">
        <v>0</v>
      </c>
      <c r="S1194">
        <v>6</v>
      </c>
    </row>
    <row r="1195" spans="14:19">
      <c r="N1195">
        <v>1194</v>
      </c>
      <c r="O1195">
        <v>0</v>
      </c>
      <c r="P1195">
        <v>1.0089999999999999</v>
      </c>
      <c r="Q1195">
        <v>3.9249999999999998</v>
      </c>
      <c r="R1195">
        <v>0</v>
      </c>
      <c r="S1195">
        <v>6</v>
      </c>
    </row>
    <row r="1196" spans="14:19">
      <c r="N1196">
        <v>1195</v>
      </c>
      <c r="O1196">
        <v>0</v>
      </c>
      <c r="P1196">
        <v>1.2589999999999999</v>
      </c>
      <c r="Q1196">
        <v>3.5089999999999999</v>
      </c>
      <c r="R1196">
        <v>0</v>
      </c>
      <c r="S1196">
        <v>6</v>
      </c>
    </row>
    <row r="1197" spans="14:19">
      <c r="N1197">
        <v>1196</v>
      </c>
      <c r="O1197">
        <v>0</v>
      </c>
      <c r="P1197">
        <v>1.8979999999999999</v>
      </c>
      <c r="Q1197">
        <v>3.6749999999999998</v>
      </c>
      <c r="R1197">
        <v>0</v>
      </c>
      <c r="S1197">
        <v>6</v>
      </c>
    </row>
    <row r="1198" spans="14:19">
      <c r="N1198">
        <v>1197</v>
      </c>
      <c r="O1198">
        <v>0</v>
      </c>
      <c r="P1198">
        <v>2.2170000000000001</v>
      </c>
      <c r="Q1198">
        <v>3.4529999999999998</v>
      </c>
      <c r="R1198">
        <v>0</v>
      </c>
      <c r="S1198">
        <v>6</v>
      </c>
    </row>
    <row r="1199" spans="14:19">
      <c r="N1199">
        <v>1198</v>
      </c>
      <c r="O1199">
        <v>0</v>
      </c>
      <c r="P1199">
        <v>3.8839999999999999</v>
      </c>
      <c r="Q1199">
        <v>2.4670000000000001</v>
      </c>
      <c r="R1199">
        <v>0</v>
      </c>
      <c r="S1199">
        <v>6</v>
      </c>
    </row>
    <row r="1200" spans="14:19">
      <c r="N1200">
        <v>1199</v>
      </c>
      <c r="O1200">
        <v>0</v>
      </c>
      <c r="P1200">
        <v>3.4249999999999998</v>
      </c>
      <c r="Q1200">
        <v>2.4950000000000001</v>
      </c>
      <c r="R1200">
        <v>0</v>
      </c>
      <c r="S1200">
        <v>6</v>
      </c>
    </row>
    <row r="1201" spans="14:19">
      <c r="N1201">
        <v>1200</v>
      </c>
      <c r="O1201">
        <v>0</v>
      </c>
      <c r="P1201">
        <v>5.3280000000000003</v>
      </c>
      <c r="Q1201">
        <v>4.2309999999999999</v>
      </c>
      <c r="R1201">
        <v>0</v>
      </c>
      <c r="S1201">
        <v>6</v>
      </c>
    </row>
    <row r="1202" spans="14:19">
      <c r="N1202">
        <v>1201</v>
      </c>
      <c r="O1202">
        <v>0</v>
      </c>
      <c r="P1202">
        <v>5.9249999999999998</v>
      </c>
      <c r="Q1202">
        <v>4.1749999999999998</v>
      </c>
      <c r="R1202">
        <v>0</v>
      </c>
      <c r="S1202">
        <v>6</v>
      </c>
    </row>
    <row r="1203" spans="14:19">
      <c r="N1203">
        <v>1202</v>
      </c>
      <c r="O1203">
        <v>0</v>
      </c>
      <c r="P1203">
        <v>6.3</v>
      </c>
      <c r="Q1203">
        <v>4.3979999999999997</v>
      </c>
      <c r="R1203">
        <v>0</v>
      </c>
      <c r="S1203">
        <v>6</v>
      </c>
    </row>
    <row r="1204" spans="14:19">
      <c r="N1204">
        <v>1203</v>
      </c>
      <c r="O1204">
        <v>0</v>
      </c>
      <c r="P1204">
        <v>6.7859999999999996</v>
      </c>
      <c r="Q1204">
        <v>4.0229999999999997</v>
      </c>
      <c r="R1204">
        <v>0</v>
      </c>
      <c r="S1204">
        <v>6</v>
      </c>
    </row>
    <row r="1205" spans="14:19">
      <c r="N1205">
        <v>1204</v>
      </c>
      <c r="O1205">
        <v>0</v>
      </c>
      <c r="P1205">
        <v>7.37</v>
      </c>
      <c r="Q1205">
        <v>4.1609999999999996</v>
      </c>
      <c r="R1205">
        <v>0</v>
      </c>
      <c r="S1205">
        <v>6</v>
      </c>
    </row>
    <row r="1206" spans="14:19">
      <c r="N1206">
        <v>1205</v>
      </c>
      <c r="O1206">
        <v>0</v>
      </c>
      <c r="P1206">
        <v>7.9109999999999996</v>
      </c>
      <c r="Q1206">
        <v>4.2450000000000001</v>
      </c>
      <c r="R1206">
        <v>0</v>
      </c>
      <c r="S1206">
        <v>6</v>
      </c>
    </row>
    <row r="1207" spans="14:19">
      <c r="N1207">
        <v>1206</v>
      </c>
      <c r="O1207">
        <v>0</v>
      </c>
      <c r="P1207">
        <v>7.7729999999999997</v>
      </c>
      <c r="Q1207">
        <v>4.5090000000000003</v>
      </c>
      <c r="R1207">
        <v>0</v>
      </c>
      <c r="S1207">
        <v>6</v>
      </c>
    </row>
    <row r="1208" spans="14:19">
      <c r="N1208">
        <v>1207</v>
      </c>
      <c r="O1208">
        <v>0</v>
      </c>
      <c r="P1208">
        <v>8.2449999999999992</v>
      </c>
      <c r="Q1208">
        <v>4.4950000000000001</v>
      </c>
      <c r="R1208">
        <v>0</v>
      </c>
      <c r="S1208">
        <v>6</v>
      </c>
    </row>
    <row r="1209" spans="14:19">
      <c r="N1209">
        <v>1208</v>
      </c>
      <c r="O1209">
        <v>0</v>
      </c>
      <c r="P1209">
        <v>8.8420000000000005</v>
      </c>
      <c r="Q1209">
        <v>4.2590000000000003</v>
      </c>
      <c r="R1209">
        <v>0</v>
      </c>
      <c r="S1209">
        <v>6</v>
      </c>
    </row>
    <row r="1210" spans="14:19">
      <c r="N1210">
        <v>1209</v>
      </c>
      <c r="O1210">
        <v>0</v>
      </c>
      <c r="P1210">
        <v>9.1890000000000001</v>
      </c>
      <c r="Q1210">
        <v>4.0090000000000003</v>
      </c>
      <c r="R1210">
        <v>0</v>
      </c>
      <c r="S1210">
        <v>6</v>
      </c>
    </row>
    <row r="1211" spans="14:19">
      <c r="N1211">
        <v>1210</v>
      </c>
      <c r="O1211">
        <v>0</v>
      </c>
      <c r="P1211">
        <v>10.452999999999999</v>
      </c>
      <c r="Q1211">
        <v>4.0780000000000003</v>
      </c>
      <c r="R1211">
        <v>0</v>
      </c>
      <c r="S1211">
        <v>6</v>
      </c>
    </row>
    <row r="1212" spans="14:19">
      <c r="N1212">
        <v>1211</v>
      </c>
      <c r="O1212">
        <v>0</v>
      </c>
      <c r="P1212">
        <v>10.606</v>
      </c>
      <c r="Q1212">
        <v>3.8980000000000001</v>
      </c>
      <c r="R1212">
        <v>0</v>
      </c>
      <c r="S1212">
        <v>6</v>
      </c>
    </row>
    <row r="1213" spans="14:19">
      <c r="N1213">
        <v>1212</v>
      </c>
      <c r="O1213">
        <v>0</v>
      </c>
      <c r="P1213">
        <v>10.884</v>
      </c>
      <c r="Q1213">
        <v>3.661</v>
      </c>
      <c r="R1213">
        <v>0</v>
      </c>
      <c r="S1213">
        <v>6</v>
      </c>
    </row>
    <row r="1214" spans="14:19">
      <c r="N1214">
        <v>1213</v>
      </c>
      <c r="O1214">
        <v>0</v>
      </c>
      <c r="P1214">
        <v>10.452999999999999</v>
      </c>
      <c r="Q1214">
        <v>3.4390000000000001</v>
      </c>
      <c r="R1214">
        <v>0</v>
      </c>
      <c r="S1214">
        <v>6</v>
      </c>
    </row>
    <row r="1215" spans="14:19">
      <c r="N1215">
        <v>1214</v>
      </c>
      <c r="O1215">
        <v>0</v>
      </c>
      <c r="P1215">
        <v>9.9670000000000005</v>
      </c>
      <c r="Q1215">
        <v>3.5640000000000001</v>
      </c>
      <c r="R1215">
        <v>0</v>
      </c>
      <c r="S1215">
        <v>6</v>
      </c>
    </row>
    <row r="1216" spans="14:19">
      <c r="N1216">
        <v>1215</v>
      </c>
      <c r="O1216">
        <v>0</v>
      </c>
      <c r="P1216">
        <v>9.3279999999999994</v>
      </c>
      <c r="Q1216">
        <v>3.7029999999999998</v>
      </c>
      <c r="R1216">
        <v>0</v>
      </c>
      <c r="S1216">
        <v>6</v>
      </c>
    </row>
    <row r="1217" spans="14:19">
      <c r="N1217">
        <v>1216</v>
      </c>
      <c r="O1217">
        <v>0</v>
      </c>
      <c r="P1217">
        <v>11.342000000000001</v>
      </c>
      <c r="Q1217">
        <v>2.786</v>
      </c>
      <c r="R1217">
        <v>0</v>
      </c>
      <c r="S1217">
        <v>6</v>
      </c>
    </row>
    <row r="1218" spans="14:19">
      <c r="N1218">
        <v>1217</v>
      </c>
      <c r="O1218">
        <v>0</v>
      </c>
      <c r="P1218">
        <v>11.327999999999999</v>
      </c>
      <c r="Q1218">
        <v>3.0920000000000001</v>
      </c>
      <c r="R1218">
        <v>0</v>
      </c>
      <c r="S1218">
        <v>6</v>
      </c>
    </row>
    <row r="1219" spans="14:19">
      <c r="N1219">
        <v>1218</v>
      </c>
      <c r="O1219">
        <v>0</v>
      </c>
      <c r="P1219">
        <v>11.62</v>
      </c>
      <c r="Q1219">
        <v>3.2309999999999999</v>
      </c>
      <c r="R1219">
        <v>0</v>
      </c>
      <c r="S1219">
        <v>6</v>
      </c>
    </row>
    <row r="1220" spans="14:19">
      <c r="N1220">
        <v>1219</v>
      </c>
      <c r="O1220">
        <v>0</v>
      </c>
      <c r="P1220">
        <v>12.536</v>
      </c>
      <c r="Q1220">
        <v>3.786</v>
      </c>
      <c r="R1220">
        <v>0</v>
      </c>
      <c r="S1220">
        <v>6</v>
      </c>
    </row>
    <row r="1221" spans="14:19">
      <c r="N1221">
        <v>1220</v>
      </c>
      <c r="O1221">
        <v>0</v>
      </c>
      <c r="P1221">
        <v>11.967000000000001</v>
      </c>
      <c r="Q1221">
        <v>4.1479999999999997</v>
      </c>
      <c r="R1221">
        <v>0</v>
      </c>
      <c r="S1221">
        <v>6</v>
      </c>
    </row>
    <row r="1222" spans="14:19">
      <c r="N1222">
        <v>1221</v>
      </c>
      <c r="O1222">
        <v>0</v>
      </c>
      <c r="P1222">
        <v>11.648</v>
      </c>
      <c r="Q1222">
        <v>4.1059999999999999</v>
      </c>
      <c r="R1222">
        <v>0</v>
      </c>
      <c r="S1222">
        <v>6</v>
      </c>
    </row>
    <row r="1223" spans="14:19">
      <c r="N1223">
        <v>1222</v>
      </c>
      <c r="O1223">
        <v>0</v>
      </c>
      <c r="P1223">
        <v>11.189</v>
      </c>
      <c r="Q1223">
        <v>4.3140000000000001</v>
      </c>
      <c r="R1223">
        <v>0</v>
      </c>
      <c r="S1223">
        <v>6</v>
      </c>
    </row>
    <row r="1224" spans="14:19">
      <c r="N1224">
        <v>1223</v>
      </c>
      <c r="O1224">
        <v>0</v>
      </c>
      <c r="P1224">
        <v>10.87</v>
      </c>
      <c r="Q1224">
        <v>4.4390000000000001</v>
      </c>
      <c r="R1224">
        <v>0</v>
      </c>
      <c r="S1224">
        <v>6</v>
      </c>
    </row>
    <row r="1225" spans="14:19">
      <c r="N1225">
        <v>1224</v>
      </c>
      <c r="O1225">
        <v>0</v>
      </c>
      <c r="P1225">
        <v>10.189</v>
      </c>
      <c r="Q1225">
        <v>4.4809999999999999</v>
      </c>
      <c r="R1225">
        <v>0</v>
      </c>
      <c r="S1225">
        <v>6</v>
      </c>
    </row>
    <row r="1226" spans="14:19">
      <c r="N1226">
        <v>1225</v>
      </c>
      <c r="O1226">
        <v>0</v>
      </c>
      <c r="P1226">
        <v>9.5920000000000005</v>
      </c>
      <c r="Q1226">
        <v>4.4109999999999996</v>
      </c>
      <c r="R1226">
        <v>0</v>
      </c>
      <c r="S1226">
        <v>6</v>
      </c>
    </row>
    <row r="1227" spans="14:19">
      <c r="N1227">
        <v>1226</v>
      </c>
      <c r="O1227">
        <v>0</v>
      </c>
      <c r="P1227">
        <v>11.661</v>
      </c>
      <c r="Q1227">
        <v>4.5919999999999996</v>
      </c>
      <c r="R1227">
        <v>0</v>
      </c>
      <c r="S1227">
        <v>6</v>
      </c>
    </row>
    <row r="1228" spans="14:19">
      <c r="N1228">
        <v>1227</v>
      </c>
      <c r="O1228">
        <v>0</v>
      </c>
      <c r="P1228">
        <v>12.259</v>
      </c>
      <c r="Q1228">
        <v>4.6059999999999999</v>
      </c>
      <c r="R1228">
        <v>0</v>
      </c>
      <c r="S1228">
        <v>6</v>
      </c>
    </row>
    <row r="1229" spans="14:19">
      <c r="N1229">
        <v>1228</v>
      </c>
      <c r="O1229">
        <v>0</v>
      </c>
      <c r="P1229">
        <v>13.036</v>
      </c>
      <c r="Q1229">
        <v>4.4669999999999996</v>
      </c>
      <c r="R1229">
        <v>0</v>
      </c>
      <c r="S1229">
        <v>6</v>
      </c>
    </row>
    <row r="1230" spans="14:19">
      <c r="N1230">
        <v>1229</v>
      </c>
      <c r="O1230">
        <v>0</v>
      </c>
      <c r="P1230">
        <v>13.342000000000001</v>
      </c>
      <c r="Q1230">
        <v>3.7589999999999999</v>
      </c>
      <c r="R1230">
        <v>0</v>
      </c>
      <c r="S1230">
        <v>6</v>
      </c>
    </row>
    <row r="1231" spans="14:19">
      <c r="N1231">
        <v>1230</v>
      </c>
      <c r="O1231">
        <v>0</v>
      </c>
      <c r="P1231">
        <v>13.62</v>
      </c>
      <c r="Q1231">
        <v>4.1059999999999999</v>
      </c>
      <c r="R1231">
        <v>0</v>
      </c>
      <c r="S1231">
        <v>6</v>
      </c>
    </row>
    <row r="1232" spans="14:19">
      <c r="N1232">
        <v>1231</v>
      </c>
      <c r="O1232">
        <v>0</v>
      </c>
      <c r="P1232">
        <v>14.398</v>
      </c>
      <c r="Q1232">
        <v>3.8420000000000001</v>
      </c>
      <c r="R1232">
        <v>0</v>
      </c>
      <c r="S1232">
        <v>6</v>
      </c>
    </row>
    <row r="1233" spans="14:19">
      <c r="N1233">
        <v>1232</v>
      </c>
      <c r="O1233">
        <v>0</v>
      </c>
      <c r="P1233">
        <v>14.925000000000001</v>
      </c>
      <c r="Q1233">
        <v>3.9390000000000001</v>
      </c>
      <c r="R1233">
        <v>0</v>
      </c>
      <c r="S1233">
        <v>6</v>
      </c>
    </row>
    <row r="1234" spans="14:19">
      <c r="N1234">
        <v>1233</v>
      </c>
      <c r="O1234">
        <v>0</v>
      </c>
      <c r="P1234">
        <v>14.509</v>
      </c>
      <c r="Q1234">
        <v>4.3559999999999999</v>
      </c>
      <c r="R1234">
        <v>0</v>
      </c>
      <c r="S1234">
        <v>6</v>
      </c>
    </row>
    <row r="1235" spans="14:19">
      <c r="N1235">
        <v>1234</v>
      </c>
      <c r="O1235">
        <v>0</v>
      </c>
      <c r="P1235">
        <v>14.3</v>
      </c>
      <c r="Q1235">
        <v>4.6340000000000003</v>
      </c>
      <c r="R1235">
        <v>0</v>
      </c>
      <c r="S1235">
        <v>6</v>
      </c>
    </row>
    <row r="1236" spans="14:19">
      <c r="N1236">
        <v>1235</v>
      </c>
      <c r="O1236">
        <v>0</v>
      </c>
      <c r="P1236">
        <v>14.939</v>
      </c>
      <c r="Q1236">
        <v>4.6479999999999997</v>
      </c>
      <c r="R1236">
        <v>0</v>
      </c>
      <c r="S1236">
        <v>6</v>
      </c>
    </row>
    <row r="1237" spans="14:19">
      <c r="N1237">
        <v>1236</v>
      </c>
      <c r="O1237">
        <v>0</v>
      </c>
      <c r="P1237">
        <v>14.523</v>
      </c>
      <c r="Q1237">
        <v>4.9809999999999999</v>
      </c>
      <c r="R1237">
        <v>0</v>
      </c>
      <c r="S1237">
        <v>6</v>
      </c>
    </row>
    <row r="1238" spans="14:19">
      <c r="N1238">
        <v>1237</v>
      </c>
      <c r="O1238">
        <v>0</v>
      </c>
      <c r="P1238">
        <v>14.911</v>
      </c>
      <c r="Q1238">
        <v>4.9109999999999996</v>
      </c>
      <c r="R1238">
        <v>0</v>
      </c>
      <c r="S1238">
        <v>6</v>
      </c>
    </row>
    <row r="1239" spans="14:19">
      <c r="N1239">
        <v>1238</v>
      </c>
      <c r="O1239">
        <v>0</v>
      </c>
      <c r="P1239">
        <v>15.634</v>
      </c>
      <c r="Q1239">
        <v>4.7309999999999999</v>
      </c>
      <c r="R1239">
        <v>0</v>
      </c>
      <c r="S1239">
        <v>6</v>
      </c>
    </row>
    <row r="1240" spans="14:19">
      <c r="N1240">
        <v>1239</v>
      </c>
      <c r="O1240">
        <v>0</v>
      </c>
      <c r="P1240">
        <v>15.786</v>
      </c>
      <c r="Q1240">
        <v>4.0229999999999997</v>
      </c>
      <c r="R1240">
        <v>0</v>
      </c>
      <c r="S1240">
        <v>6</v>
      </c>
    </row>
    <row r="1241" spans="14:19">
      <c r="N1241">
        <v>1240</v>
      </c>
      <c r="O1241">
        <v>0</v>
      </c>
      <c r="P1241">
        <v>16.62</v>
      </c>
      <c r="Q1241">
        <v>3.8839999999999999</v>
      </c>
      <c r="R1241">
        <v>0</v>
      </c>
      <c r="S1241">
        <v>6</v>
      </c>
    </row>
    <row r="1242" spans="14:19">
      <c r="N1242">
        <v>1241</v>
      </c>
      <c r="O1242">
        <v>0</v>
      </c>
      <c r="P1242">
        <v>16.55</v>
      </c>
      <c r="Q1242">
        <v>4.05</v>
      </c>
      <c r="R1242">
        <v>0</v>
      </c>
      <c r="S1242">
        <v>6</v>
      </c>
    </row>
    <row r="1243" spans="14:19">
      <c r="N1243">
        <v>1242</v>
      </c>
      <c r="O1243">
        <v>0</v>
      </c>
      <c r="P1243">
        <v>17.564</v>
      </c>
      <c r="Q1243">
        <v>4.1749999999999998</v>
      </c>
      <c r="R1243">
        <v>0</v>
      </c>
      <c r="S1243">
        <v>6</v>
      </c>
    </row>
    <row r="1244" spans="14:19">
      <c r="N1244">
        <v>1243</v>
      </c>
      <c r="O1244">
        <v>0</v>
      </c>
      <c r="P1244">
        <v>17.981000000000002</v>
      </c>
      <c r="Q1244">
        <v>4.4109999999999996</v>
      </c>
      <c r="R1244">
        <v>0</v>
      </c>
      <c r="S1244">
        <v>6</v>
      </c>
    </row>
    <row r="1245" spans="14:19">
      <c r="N1245">
        <v>1244</v>
      </c>
      <c r="O1245">
        <v>0</v>
      </c>
      <c r="P1245">
        <v>18.62</v>
      </c>
      <c r="Q1245">
        <v>4.2309999999999999</v>
      </c>
      <c r="R1245">
        <v>0</v>
      </c>
      <c r="S1245">
        <v>6</v>
      </c>
    </row>
    <row r="1246" spans="14:19">
      <c r="N1246">
        <v>1245</v>
      </c>
      <c r="O1246">
        <v>0</v>
      </c>
      <c r="P1246">
        <v>19.577999999999999</v>
      </c>
      <c r="Q1246">
        <v>4.0359999999999996</v>
      </c>
      <c r="R1246">
        <v>0</v>
      </c>
      <c r="S1246">
        <v>6</v>
      </c>
    </row>
    <row r="1247" spans="14:19">
      <c r="N1247">
        <v>1246</v>
      </c>
      <c r="O1247">
        <v>0</v>
      </c>
      <c r="P1247">
        <v>19.661000000000001</v>
      </c>
      <c r="Q1247">
        <v>4.3559999999999999</v>
      </c>
      <c r="R1247">
        <v>0</v>
      </c>
      <c r="S1247">
        <v>6</v>
      </c>
    </row>
    <row r="1248" spans="14:19">
      <c r="N1248">
        <v>1247</v>
      </c>
      <c r="O1248">
        <v>0</v>
      </c>
      <c r="P1248">
        <v>19.648</v>
      </c>
      <c r="Q1248">
        <v>4.6479999999999997</v>
      </c>
      <c r="R1248">
        <v>0</v>
      </c>
      <c r="S1248">
        <v>6</v>
      </c>
    </row>
    <row r="1249" spans="14:19">
      <c r="N1249">
        <v>1248</v>
      </c>
      <c r="O1249">
        <v>0</v>
      </c>
      <c r="P1249">
        <v>19.648</v>
      </c>
      <c r="Q1249">
        <v>4.9249999999999998</v>
      </c>
      <c r="R1249">
        <v>0</v>
      </c>
      <c r="S1249">
        <v>6</v>
      </c>
    </row>
    <row r="1250" spans="14:19">
      <c r="N1250">
        <v>1249</v>
      </c>
      <c r="O1250">
        <v>0</v>
      </c>
      <c r="P1250">
        <v>19.398</v>
      </c>
      <c r="Q1250">
        <v>4.87</v>
      </c>
      <c r="R1250">
        <v>0</v>
      </c>
      <c r="S1250">
        <v>6</v>
      </c>
    </row>
    <row r="1251" spans="14:19">
      <c r="N1251">
        <v>1250</v>
      </c>
      <c r="O1251">
        <v>0</v>
      </c>
      <c r="P1251">
        <v>18.675000000000001</v>
      </c>
      <c r="Q1251">
        <v>4.87</v>
      </c>
      <c r="R1251">
        <v>0</v>
      </c>
      <c r="S1251">
        <v>6</v>
      </c>
    </row>
    <row r="1252" spans="14:19">
      <c r="N1252">
        <v>1251</v>
      </c>
      <c r="O1252">
        <v>0</v>
      </c>
      <c r="P1252">
        <v>18.356000000000002</v>
      </c>
      <c r="Q1252">
        <v>4.7729999999999997</v>
      </c>
      <c r="R1252">
        <v>0</v>
      </c>
      <c r="S1252">
        <v>6</v>
      </c>
    </row>
    <row r="1253" spans="14:19">
      <c r="N1253">
        <v>1252</v>
      </c>
      <c r="O1253">
        <v>0</v>
      </c>
      <c r="P1253">
        <v>17.648</v>
      </c>
      <c r="Q1253">
        <v>4.87</v>
      </c>
      <c r="R1253">
        <v>0</v>
      </c>
      <c r="S1253">
        <v>6</v>
      </c>
    </row>
    <row r="1254" spans="14:19">
      <c r="N1254">
        <v>1253</v>
      </c>
      <c r="O1254">
        <v>0</v>
      </c>
      <c r="P1254">
        <v>16.827999999999999</v>
      </c>
      <c r="Q1254">
        <v>4.9669999999999996</v>
      </c>
      <c r="R1254">
        <v>0</v>
      </c>
      <c r="S1254">
        <v>6</v>
      </c>
    </row>
    <row r="1255" spans="14:19">
      <c r="N1255">
        <v>1254</v>
      </c>
      <c r="O1255">
        <v>0</v>
      </c>
      <c r="P1255">
        <v>16.523</v>
      </c>
      <c r="Q1255">
        <v>4.8</v>
      </c>
      <c r="R1255">
        <v>0</v>
      </c>
      <c r="S1255">
        <v>6</v>
      </c>
    </row>
    <row r="1256" spans="14:19">
      <c r="N1256">
        <v>1255</v>
      </c>
      <c r="O1256">
        <v>0</v>
      </c>
      <c r="P1256">
        <v>16.189</v>
      </c>
      <c r="Q1256">
        <v>4.5090000000000003</v>
      </c>
      <c r="R1256">
        <v>0</v>
      </c>
      <c r="S1256">
        <v>6</v>
      </c>
    </row>
    <row r="1257" spans="14:19">
      <c r="N1257">
        <v>1256</v>
      </c>
      <c r="O1257">
        <v>0</v>
      </c>
      <c r="P1257">
        <v>16.106000000000002</v>
      </c>
      <c r="Q1257">
        <v>4.9390000000000001</v>
      </c>
      <c r="R1257">
        <v>0</v>
      </c>
      <c r="S1257">
        <v>6</v>
      </c>
    </row>
    <row r="1258" spans="14:19">
      <c r="N1258">
        <v>1257</v>
      </c>
      <c r="O1258">
        <v>0</v>
      </c>
      <c r="P1258">
        <v>15.967000000000001</v>
      </c>
      <c r="Q1258">
        <v>5.2309999999999999</v>
      </c>
      <c r="R1258">
        <v>0</v>
      </c>
      <c r="S1258">
        <v>6</v>
      </c>
    </row>
    <row r="1259" spans="14:19">
      <c r="N1259">
        <v>1258</v>
      </c>
      <c r="O1259">
        <v>0</v>
      </c>
      <c r="P1259">
        <v>16.884</v>
      </c>
      <c r="Q1259">
        <v>5.3</v>
      </c>
      <c r="R1259">
        <v>0</v>
      </c>
      <c r="S1259">
        <v>6</v>
      </c>
    </row>
    <row r="1260" spans="14:19">
      <c r="N1260">
        <v>1259</v>
      </c>
      <c r="O1260">
        <v>0</v>
      </c>
      <c r="P1260">
        <v>17.648</v>
      </c>
      <c r="Q1260">
        <v>5.3419999999999996</v>
      </c>
      <c r="R1260">
        <v>0</v>
      </c>
      <c r="S1260">
        <v>6</v>
      </c>
    </row>
    <row r="1261" spans="14:19">
      <c r="N1261">
        <v>1260</v>
      </c>
      <c r="O1261">
        <v>0</v>
      </c>
      <c r="P1261">
        <v>18.216999999999999</v>
      </c>
      <c r="Q1261">
        <v>5.2450000000000001</v>
      </c>
      <c r="R1261">
        <v>0</v>
      </c>
      <c r="S1261">
        <v>6</v>
      </c>
    </row>
    <row r="1262" spans="14:19">
      <c r="N1262">
        <v>1261</v>
      </c>
      <c r="O1262">
        <v>0</v>
      </c>
      <c r="P1262">
        <v>19.064</v>
      </c>
      <c r="Q1262">
        <v>5.3</v>
      </c>
      <c r="R1262">
        <v>0</v>
      </c>
      <c r="S1262">
        <v>6</v>
      </c>
    </row>
    <row r="1263" spans="14:19">
      <c r="N1263">
        <v>1262</v>
      </c>
      <c r="O1263">
        <v>0</v>
      </c>
      <c r="P1263">
        <v>19.606000000000002</v>
      </c>
      <c r="Q1263">
        <v>5.3</v>
      </c>
      <c r="R1263">
        <v>0</v>
      </c>
      <c r="S1263">
        <v>6</v>
      </c>
    </row>
    <row r="1264" spans="14:19">
      <c r="N1264">
        <v>1263</v>
      </c>
      <c r="O1264">
        <v>0</v>
      </c>
      <c r="P1264">
        <v>19.466999999999999</v>
      </c>
      <c r="Q1264">
        <v>5.6749999999999998</v>
      </c>
      <c r="R1264">
        <v>0</v>
      </c>
      <c r="S1264">
        <v>6</v>
      </c>
    </row>
    <row r="1265" spans="14:19">
      <c r="N1265">
        <v>1264</v>
      </c>
      <c r="O1265">
        <v>0</v>
      </c>
      <c r="P1265">
        <v>19.8</v>
      </c>
      <c r="Q1265">
        <v>5.9669999999999996</v>
      </c>
      <c r="R1265">
        <v>0</v>
      </c>
      <c r="S1265">
        <v>6</v>
      </c>
    </row>
    <row r="1266" spans="14:19">
      <c r="N1266">
        <v>1265</v>
      </c>
      <c r="O1266">
        <v>0</v>
      </c>
      <c r="P1266">
        <v>5.7729999999999997</v>
      </c>
      <c r="Q1266">
        <v>2.2309999999999999</v>
      </c>
      <c r="R1266">
        <v>0</v>
      </c>
      <c r="S1266">
        <v>6</v>
      </c>
    </row>
    <row r="1267" spans="14:19">
      <c r="N1267">
        <v>1266</v>
      </c>
      <c r="O1267">
        <v>0</v>
      </c>
      <c r="P1267">
        <v>6.2859999999999996</v>
      </c>
      <c r="Q1267">
        <v>2.1339999999999999</v>
      </c>
      <c r="R1267">
        <v>0</v>
      </c>
      <c r="S1267">
        <v>6</v>
      </c>
    </row>
    <row r="1268" spans="14:19">
      <c r="N1268">
        <v>1267</v>
      </c>
      <c r="O1268">
        <v>0</v>
      </c>
      <c r="P1268">
        <v>8.5920000000000005</v>
      </c>
      <c r="Q1268">
        <v>3.5230000000000001</v>
      </c>
      <c r="R1268">
        <v>0</v>
      </c>
      <c r="S1268">
        <v>6</v>
      </c>
    </row>
    <row r="1269" spans="14:19">
      <c r="N1269">
        <v>1268</v>
      </c>
      <c r="O1269">
        <v>0</v>
      </c>
      <c r="P1269">
        <v>9.0500000000000007</v>
      </c>
      <c r="Q1269">
        <v>3.7730000000000001</v>
      </c>
      <c r="R1269">
        <v>0</v>
      </c>
      <c r="S1269">
        <v>6</v>
      </c>
    </row>
    <row r="1270" spans="14:19">
      <c r="N1270">
        <v>1269</v>
      </c>
      <c r="O1270">
        <v>0</v>
      </c>
      <c r="P1270">
        <v>0.41099999999999998</v>
      </c>
      <c r="Q1270">
        <v>8.0229999999999997</v>
      </c>
      <c r="R1270">
        <v>0</v>
      </c>
      <c r="S1270">
        <v>6</v>
      </c>
    </row>
    <row r="1271" spans="14:19">
      <c r="N1271">
        <v>1270</v>
      </c>
      <c r="O1271">
        <v>0</v>
      </c>
      <c r="P1271">
        <v>0.62</v>
      </c>
      <c r="Q1271">
        <v>7.9390000000000001</v>
      </c>
      <c r="R1271">
        <v>0</v>
      </c>
      <c r="S1271">
        <v>6</v>
      </c>
    </row>
    <row r="1272" spans="14:19">
      <c r="N1272">
        <v>1271</v>
      </c>
      <c r="O1272">
        <v>0</v>
      </c>
      <c r="P1272">
        <v>1.0920000000000001</v>
      </c>
      <c r="Q1272">
        <v>7.9249999999999998</v>
      </c>
      <c r="R1272">
        <v>0</v>
      </c>
      <c r="S1272">
        <v>6</v>
      </c>
    </row>
    <row r="1273" spans="14:19">
      <c r="N1273">
        <v>1272</v>
      </c>
      <c r="O1273">
        <v>0</v>
      </c>
      <c r="P1273">
        <v>1.8560000000000001</v>
      </c>
      <c r="Q1273">
        <v>7.8140000000000001</v>
      </c>
      <c r="R1273">
        <v>0</v>
      </c>
      <c r="S1273">
        <v>6</v>
      </c>
    </row>
    <row r="1274" spans="14:19">
      <c r="N1274">
        <v>1273</v>
      </c>
      <c r="O1274">
        <v>0</v>
      </c>
      <c r="P1274">
        <v>1.7170000000000001</v>
      </c>
      <c r="Q1274">
        <v>8.1340000000000003</v>
      </c>
      <c r="R1274">
        <v>0</v>
      </c>
      <c r="S1274">
        <v>6</v>
      </c>
    </row>
    <row r="1275" spans="14:19">
      <c r="N1275">
        <v>1274</v>
      </c>
      <c r="O1275">
        <v>0</v>
      </c>
      <c r="P1275">
        <v>1.425</v>
      </c>
      <c r="Q1275">
        <v>8.2590000000000003</v>
      </c>
      <c r="R1275">
        <v>0</v>
      </c>
      <c r="S1275">
        <v>6</v>
      </c>
    </row>
    <row r="1276" spans="14:19">
      <c r="N1276">
        <v>1275</v>
      </c>
      <c r="O1276">
        <v>0</v>
      </c>
      <c r="P1276">
        <v>0.98099999999999998</v>
      </c>
      <c r="Q1276">
        <v>8.2449999999999992</v>
      </c>
      <c r="R1276">
        <v>0</v>
      </c>
      <c r="S1276">
        <v>6</v>
      </c>
    </row>
    <row r="1277" spans="14:19">
      <c r="N1277">
        <v>1276</v>
      </c>
      <c r="O1277">
        <v>0</v>
      </c>
      <c r="P1277">
        <v>0.63400000000000001</v>
      </c>
      <c r="Q1277">
        <v>8.4809999999999999</v>
      </c>
      <c r="R1277">
        <v>0</v>
      </c>
      <c r="S1277">
        <v>6</v>
      </c>
    </row>
    <row r="1278" spans="14:19">
      <c r="N1278">
        <v>1277</v>
      </c>
      <c r="O1278">
        <v>0</v>
      </c>
      <c r="P1278">
        <v>0.53600000000000003</v>
      </c>
      <c r="Q1278">
        <v>8.8140000000000001</v>
      </c>
      <c r="R1278">
        <v>0</v>
      </c>
      <c r="S1278">
        <v>6</v>
      </c>
    </row>
    <row r="1279" spans="14:19">
      <c r="N1279">
        <v>1278</v>
      </c>
      <c r="O1279">
        <v>0</v>
      </c>
      <c r="P1279">
        <v>0.81399999999999995</v>
      </c>
      <c r="Q1279">
        <v>9.0090000000000003</v>
      </c>
      <c r="R1279">
        <v>0</v>
      </c>
      <c r="S1279">
        <v>6</v>
      </c>
    </row>
    <row r="1280" spans="14:19">
      <c r="N1280">
        <v>1279</v>
      </c>
      <c r="O1280">
        <v>0</v>
      </c>
      <c r="P1280">
        <v>1.5920000000000001</v>
      </c>
      <c r="Q1280">
        <v>8.8140000000000001</v>
      </c>
      <c r="R1280">
        <v>0</v>
      </c>
      <c r="S1280">
        <v>6</v>
      </c>
    </row>
    <row r="1281" spans="14:19">
      <c r="N1281">
        <v>1280</v>
      </c>
      <c r="O1281">
        <v>0</v>
      </c>
      <c r="P1281">
        <v>2.2170000000000001</v>
      </c>
      <c r="Q1281">
        <v>8.4250000000000007</v>
      </c>
      <c r="R1281">
        <v>0</v>
      </c>
      <c r="S1281">
        <v>6</v>
      </c>
    </row>
    <row r="1282" spans="14:19">
      <c r="N1282">
        <v>1281</v>
      </c>
      <c r="O1282">
        <v>0</v>
      </c>
      <c r="P1282">
        <v>2.7730000000000001</v>
      </c>
      <c r="Q1282">
        <v>8.3979999999999997</v>
      </c>
      <c r="R1282">
        <v>0</v>
      </c>
      <c r="S1282">
        <v>6</v>
      </c>
    </row>
    <row r="1283" spans="14:19">
      <c r="N1283">
        <v>1282</v>
      </c>
      <c r="O1283">
        <v>0</v>
      </c>
      <c r="P1283">
        <v>3.05</v>
      </c>
      <c r="Q1283">
        <v>8.3140000000000001</v>
      </c>
      <c r="R1283">
        <v>0</v>
      </c>
      <c r="S1283">
        <v>6</v>
      </c>
    </row>
    <row r="1284" spans="14:19">
      <c r="N1284">
        <v>1283</v>
      </c>
      <c r="O1284">
        <v>0</v>
      </c>
      <c r="P1284">
        <v>3.0779999999999998</v>
      </c>
      <c r="Q1284">
        <v>8.2029999999999994</v>
      </c>
      <c r="R1284">
        <v>0</v>
      </c>
      <c r="S1284">
        <v>6</v>
      </c>
    </row>
    <row r="1285" spans="14:19">
      <c r="N1285">
        <v>1284</v>
      </c>
      <c r="O1285">
        <v>0</v>
      </c>
      <c r="P1285">
        <v>2.7309999999999999</v>
      </c>
      <c r="Q1285">
        <v>8.0640000000000001</v>
      </c>
      <c r="R1285">
        <v>0</v>
      </c>
      <c r="S1285">
        <v>6</v>
      </c>
    </row>
    <row r="1286" spans="14:19">
      <c r="N1286">
        <v>1285</v>
      </c>
      <c r="O1286">
        <v>0</v>
      </c>
      <c r="P1286">
        <v>3.3839999999999999</v>
      </c>
      <c r="Q1286">
        <v>7.9249999999999998</v>
      </c>
      <c r="R1286">
        <v>0</v>
      </c>
      <c r="S1286">
        <v>6</v>
      </c>
    </row>
    <row r="1287" spans="14:19">
      <c r="N1287">
        <v>1286</v>
      </c>
      <c r="O1287">
        <v>0</v>
      </c>
      <c r="P1287">
        <v>3.7589999999999999</v>
      </c>
      <c r="Q1287">
        <v>8.1340000000000003</v>
      </c>
      <c r="R1287">
        <v>0</v>
      </c>
      <c r="S1287">
        <v>6</v>
      </c>
    </row>
    <row r="1288" spans="14:19">
      <c r="N1288">
        <v>1287</v>
      </c>
      <c r="O1288">
        <v>0</v>
      </c>
      <c r="P1288">
        <v>4.2450000000000001</v>
      </c>
      <c r="Q1288">
        <v>8.0920000000000005</v>
      </c>
      <c r="R1288">
        <v>0</v>
      </c>
      <c r="S1288">
        <v>6</v>
      </c>
    </row>
    <row r="1289" spans="14:19">
      <c r="N1289">
        <v>1288</v>
      </c>
      <c r="O1289">
        <v>0</v>
      </c>
      <c r="P1289">
        <v>4.4950000000000001</v>
      </c>
      <c r="Q1289">
        <v>7.9669999999999996</v>
      </c>
      <c r="R1289">
        <v>0</v>
      </c>
      <c r="S1289">
        <v>6</v>
      </c>
    </row>
    <row r="1290" spans="14:19">
      <c r="N1290">
        <v>1289</v>
      </c>
      <c r="O1290">
        <v>0</v>
      </c>
      <c r="P1290">
        <v>4.9390000000000001</v>
      </c>
      <c r="Q1290">
        <v>7.7859999999999996</v>
      </c>
      <c r="R1290">
        <v>0</v>
      </c>
      <c r="S1290">
        <v>6</v>
      </c>
    </row>
    <row r="1291" spans="14:19">
      <c r="N1291">
        <v>1290</v>
      </c>
      <c r="O1291">
        <v>0</v>
      </c>
      <c r="P1291">
        <v>5.3559999999999999</v>
      </c>
      <c r="Q1291">
        <v>7.8419999999999996</v>
      </c>
      <c r="R1291">
        <v>0</v>
      </c>
      <c r="S1291">
        <v>6</v>
      </c>
    </row>
    <row r="1292" spans="14:19">
      <c r="N1292">
        <v>1291</v>
      </c>
      <c r="O1292">
        <v>0</v>
      </c>
      <c r="P1292">
        <v>5.7450000000000001</v>
      </c>
      <c r="Q1292">
        <v>8.0090000000000003</v>
      </c>
      <c r="R1292">
        <v>0</v>
      </c>
      <c r="S1292">
        <v>6</v>
      </c>
    </row>
    <row r="1293" spans="14:19">
      <c r="N1293">
        <v>1292</v>
      </c>
      <c r="O1293">
        <v>0</v>
      </c>
      <c r="P1293">
        <v>5.2450000000000001</v>
      </c>
      <c r="Q1293">
        <v>8.2590000000000003</v>
      </c>
      <c r="R1293">
        <v>0</v>
      </c>
      <c r="S1293">
        <v>6</v>
      </c>
    </row>
    <row r="1294" spans="14:19">
      <c r="N1294">
        <v>1293</v>
      </c>
      <c r="O1294">
        <v>0</v>
      </c>
      <c r="P1294">
        <v>4.8</v>
      </c>
      <c r="Q1294">
        <v>8.5359999999999996</v>
      </c>
      <c r="R1294">
        <v>0</v>
      </c>
      <c r="S1294">
        <v>6</v>
      </c>
    </row>
    <row r="1295" spans="14:19">
      <c r="N1295">
        <v>1294</v>
      </c>
      <c r="O1295">
        <v>0</v>
      </c>
      <c r="P1295">
        <v>3.786</v>
      </c>
      <c r="Q1295">
        <v>8.6750000000000007</v>
      </c>
      <c r="R1295">
        <v>0</v>
      </c>
      <c r="S1295">
        <v>6</v>
      </c>
    </row>
    <row r="1296" spans="14:19">
      <c r="N1296">
        <v>1295</v>
      </c>
      <c r="O1296">
        <v>0</v>
      </c>
      <c r="P1296">
        <v>3.3559999999999999</v>
      </c>
      <c r="Q1296">
        <v>8.9390000000000001</v>
      </c>
      <c r="R1296">
        <v>0</v>
      </c>
      <c r="S1296">
        <v>6</v>
      </c>
    </row>
    <row r="1297" spans="14:19">
      <c r="N1297">
        <v>1296</v>
      </c>
      <c r="O1297">
        <v>0</v>
      </c>
      <c r="P1297">
        <v>3.3420000000000001</v>
      </c>
      <c r="Q1297">
        <v>9.1609999999999996</v>
      </c>
      <c r="R1297">
        <v>0</v>
      </c>
      <c r="S1297">
        <v>6</v>
      </c>
    </row>
    <row r="1298" spans="14:19">
      <c r="N1298">
        <v>1297</v>
      </c>
      <c r="O1298">
        <v>0</v>
      </c>
      <c r="P1298">
        <v>4.0090000000000003</v>
      </c>
      <c r="Q1298">
        <v>9.0640000000000001</v>
      </c>
      <c r="R1298">
        <v>0</v>
      </c>
      <c r="S1298">
        <v>6</v>
      </c>
    </row>
    <row r="1299" spans="14:19">
      <c r="N1299">
        <v>1298</v>
      </c>
      <c r="O1299">
        <v>0</v>
      </c>
      <c r="P1299">
        <v>3.37</v>
      </c>
      <c r="Q1299">
        <v>8.5640000000000001</v>
      </c>
      <c r="R1299">
        <v>0</v>
      </c>
      <c r="S1299">
        <v>6</v>
      </c>
    </row>
    <row r="1300" spans="14:19">
      <c r="N1300">
        <v>1299</v>
      </c>
      <c r="O1300">
        <v>0</v>
      </c>
      <c r="P1300">
        <v>4.6059999999999999</v>
      </c>
      <c r="Q1300">
        <v>9.0229999999999997</v>
      </c>
      <c r="R1300">
        <v>0</v>
      </c>
      <c r="S1300">
        <v>6</v>
      </c>
    </row>
    <row r="1301" spans="14:19">
      <c r="N1301">
        <v>1300</v>
      </c>
      <c r="O1301">
        <v>0</v>
      </c>
      <c r="P1301">
        <v>4.5090000000000003</v>
      </c>
      <c r="Q1301">
        <v>9.4109999999999996</v>
      </c>
      <c r="R1301">
        <v>0</v>
      </c>
      <c r="S1301">
        <v>6</v>
      </c>
    </row>
    <row r="1302" spans="14:19">
      <c r="N1302">
        <v>1301</v>
      </c>
      <c r="O1302">
        <v>0</v>
      </c>
      <c r="P1302">
        <v>5.0640000000000001</v>
      </c>
      <c r="Q1302">
        <v>8.9670000000000005</v>
      </c>
      <c r="R1302">
        <v>0</v>
      </c>
      <c r="S1302">
        <v>6</v>
      </c>
    </row>
    <row r="1303" spans="14:19">
      <c r="N1303">
        <v>1302</v>
      </c>
      <c r="O1303">
        <v>0</v>
      </c>
      <c r="P1303">
        <v>5.5359999999999996</v>
      </c>
      <c r="Q1303">
        <v>8.5640000000000001</v>
      </c>
      <c r="R1303">
        <v>0</v>
      </c>
      <c r="S1303">
        <v>6</v>
      </c>
    </row>
    <row r="1304" spans="14:19">
      <c r="N1304">
        <v>1303</v>
      </c>
      <c r="O1304">
        <v>0</v>
      </c>
      <c r="P1304">
        <v>6.0229999999999997</v>
      </c>
      <c r="Q1304">
        <v>8.4670000000000005</v>
      </c>
      <c r="R1304">
        <v>0</v>
      </c>
      <c r="S1304">
        <v>6</v>
      </c>
    </row>
    <row r="1305" spans="14:19">
      <c r="N1305">
        <v>1304</v>
      </c>
      <c r="O1305">
        <v>0</v>
      </c>
      <c r="P1305">
        <v>6.0090000000000003</v>
      </c>
      <c r="Q1305">
        <v>8.8840000000000003</v>
      </c>
      <c r="R1305">
        <v>0</v>
      </c>
      <c r="S1305">
        <v>6</v>
      </c>
    </row>
    <row r="1306" spans="14:19">
      <c r="N1306">
        <v>1305</v>
      </c>
      <c r="O1306">
        <v>0</v>
      </c>
      <c r="P1306">
        <v>6.3</v>
      </c>
      <c r="Q1306">
        <v>8.4390000000000001</v>
      </c>
      <c r="R1306">
        <v>0</v>
      </c>
      <c r="S1306">
        <v>6</v>
      </c>
    </row>
    <row r="1307" spans="14:19">
      <c r="N1307">
        <v>1306</v>
      </c>
      <c r="O1307">
        <v>0</v>
      </c>
      <c r="P1307">
        <v>6.3840000000000003</v>
      </c>
      <c r="Q1307">
        <v>8.0500000000000007</v>
      </c>
      <c r="R1307">
        <v>0</v>
      </c>
      <c r="S1307">
        <v>6</v>
      </c>
    </row>
    <row r="1308" spans="14:19">
      <c r="N1308">
        <v>1307</v>
      </c>
      <c r="O1308">
        <v>0</v>
      </c>
      <c r="P1308">
        <v>6.87</v>
      </c>
      <c r="Q1308">
        <v>7.8280000000000003</v>
      </c>
      <c r="R1308">
        <v>0</v>
      </c>
      <c r="S1308">
        <v>6</v>
      </c>
    </row>
    <row r="1309" spans="14:19">
      <c r="N1309">
        <v>1308</v>
      </c>
      <c r="O1309">
        <v>0</v>
      </c>
      <c r="P1309">
        <v>7.3</v>
      </c>
      <c r="Q1309">
        <v>7.87</v>
      </c>
      <c r="R1309">
        <v>0</v>
      </c>
      <c r="S1309">
        <v>6</v>
      </c>
    </row>
    <row r="1310" spans="14:19">
      <c r="N1310">
        <v>1309</v>
      </c>
      <c r="O1310">
        <v>0</v>
      </c>
      <c r="P1310">
        <v>7.4109999999999996</v>
      </c>
      <c r="Q1310">
        <v>8.0500000000000007</v>
      </c>
      <c r="R1310">
        <v>0</v>
      </c>
      <c r="S1310">
        <v>6</v>
      </c>
    </row>
    <row r="1311" spans="14:19">
      <c r="N1311">
        <v>1310</v>
      </c>
      <c r="O1311">
        <v>0</v>
      </c>
      <c r="P1311">
        <v>7.4950000000000001</v>
      </c>
      <c r="Q1311">
        <v>8.4109999999999996</v>
      </c>
      <c r="R1311">
        <v>0</v>
      </c>
      <c r="S1311">
        <v>6</v>
      </c>
    </row>
    <row r="1312" spans="14:19">
      <c r="N1312">
        <v>1311</v>
      </c>
      <c r="O1312">
        <v>0</v>
      </c>
      <c r="P1312">
        <v>8.2590000000000003</v>
      </c>
      <c r="Q1312">
        <v>8.1059999999999999</v>
      </c>
      <c r="R1312">
        <v>0</v>
      </c>
      <c r="S1312">
        <v>6</v>
      </c>
    </row>
    <row r="1313" spans="14:19">
      <c r="N1313">
        <v>1312</v>
      </c>
      <c r="O1313">
        <v>0</v>
      </c>
      <c r="P1313">
        <v>8.2309999999999999</v>
      </c>
      <c r="Q1313">
        <v>7.8140000000000001</v>
      </c>
      <c r="R1313">
        <v>0</v>
      </c>
      <c r="S1313">
        <v>6</v>
      </c>
    </row>
    <row r="1314" spans="14:19">
      <c r="N1314">
        <v>1313</v>
      </c>
      <c r="O1314">
        <v>0</v>
      </c>
      <c r="P1314">
        <v>9.1199999999999992</v>
      </c>
      <c r="Q1314">
        <v>7.9109999999999996</v>
      </c>
      <c r="R1314">
        <v>0</v>
      </c>
      <c r="S1314">
        <v>6</v>
      </c>
    </row>
    <row r="1315" spans="14:19">
      <c r="N1315">
        <v>1314</v>
      </c>
      <c r="O1315">
        <v>0</v>
      </c>
      <c r="P1315">
        <v>9.1479999999999997</v>
      </c>
      <c r="Q1315">
        <v>8.2029999999999994</v>
      </c>
      <c r="R1315">
        <v>0</v>
      </c>
      <c r="S1315">
        <v>6</v>
      </c>
    </row>
    <row r="1316" spans="14:19">
      <c r="N1316">
        <v>1315</v>
      </c>
      <c r="O1316">
        <v>0</v>
      </c>
      <c r="P1316">
        <v>10.342000000000001</v>
      </c>
      <c r="Q1316">
        <v>8.0779999999999994</v>
      </c>
      <c r="R1316">
        <v>0</v>
      </c>
      <c r="S1316">
        <v>6</v>
      </c>
    </row>
    <row r="1317" spans="14:19">
      <c r="N1317">
        <v>1316</v>
      </c>
      <c r="O1317">
        <v>0</v>
      </c>
      <c r="P1317">
        <v>11.37</v>
      </c>
      <c r="Q1317">
        <v>8.2029999999999994</v>
      </c>
      <c r="R1317">
        <v>0</v>
      </c>
      <c r="S1317">
        <v>6</v>
      </c>
    </row>
    <row r="1318" spans="14:19">
      <c r="N1318">
        <v>1317</v>
      </c>
      <c r="O1318">
        <v>0</v>
      </c>
      <c r="P1318">
        <v>10.884</v>
      </c>
      <c r="Q1318">
        <v>8.3000000000000007</v>
      </c>
      <c r="R1318">
        <v>0</v>
      </c>
      <c r="S1318">
        <v>6</v>
      </c>
    </row>
    <row r="1319" spans="14:19">
      <c r="N1319">
        <v>1318</v>
      </c>
      <c r="O1319">
        <v>0</v>
      </c>
      <c r="P1319">
        <v>12.509</v>
      </c>
      <c r="Q1319">
        <v>8.0359999999999996</v>
      </c>
      <c r="R1319">
        <v>0</v>
      </c>
      <c r="S1319">
        <v>6</v>
      </c>
    </row>
    <row r="1320" spans="14:19">
      <c r="N1320">
        <v>1319</v>
      </c>
      <c r="O1320">
        <v>0</v>
      </c>
      <c r="P1320">
        <v>12.411</v>
      </c>
      <c r="Q1320">
        <v>8.2729999999999997</v>
      </c>
      <c r="R1320">
        <v>0</v>
      </c>
      <c r="S1320">
        <v>6</v>
      </c>
    </row>
    <row r="1321" spans="14:19">
      <c r="N1321">
        <v>1320</v>
      </c>
      <c r="O1321">
        <v>0</v>
      </c>
      <c r="P1321">
        <v>12.536</v>
      </c>
      <c r="Q1321">
        <v>8.3840000000000003</v>
      </c>
      <c r="R1321">
        <v>0</v>
      </c>
      <c r="S1321">
        <v>6</v>
      </c>
    </row>
    <row r="1322" spans="14:19">
      <c r="N1322">
        <v>1321</v>
      </c>
      <c r="O1322">
        <v>0</v>
      </c>
      <c r="P1322">
        <v>13.398</v>
      </c>
      <c r="Q1322">
        <v>8.1750000000000007</v>
      </c>
      <c r="R1322">
        <v>0</v>
      </c>
      <c r="S1322">
        <v>6</v>
      </c>
    </row>
    <row r="1323" spans="14:19">
      <c r="N1323">
        <v>1322</v>
      </c>
      <c r="O1323">
        <v>0</v>
      </c>
      <c r="P1323">
        <v>13.967000000000001</v>
      </c>
      <c r="Q1323">
        <v>8.2449999999999992</v>
      </c>
      <c r="R1323">
        <v>0</v>
      </c>
      <c r="S1323">
        <v>6</v>
      </c>
    </row>
    <row r="1324" spans="14:19">
      <c r="N1324">
        <v>1323</v>
      </c>
      <c r="O1324">
        <v>0</v>
      </c>
      <c r="P1324">
        <v>14.648</v>
      </c>
      <c r="Q1324">
        <v>8.0090000000000003</v>
      </c>
      <c r="R1324">
        <v>0</v>
      </c>
      <c r="S1324">
        <v>6</v>
      </c>
    </row>
    <row r="1325" spans="14:19">
      <c r="N1325">
        <v>1324</v>
      </c>
      <c r="O1325">
        <v>0</v>
      </c>
      <c r="P1325">
        <v>15.064</v>
      </c>
      <c r="Q1325">
        <v>8.1479999999999997</v>
      </c>
      <c r="R1325">
        <v>0</v>
      </c>
      <c r="S1325">
        <v>6</v>
      </c>
    </row>
    <row r="1326" spans="14:19">
      <c r="N1326">
        <v>1325</v>
      </c>
      <c r="O1326">
        <v>0</v>
      </c>
      <c r="P1326">
        <v>16.064</v>
      </c>
      <c r="Q1326">
        <v>8.2170000000000005</v>
      </c>
      <c r="R1326">
        <v>0</v>
      </c>
      <c r="S1326">
        <v>6</v>
      </c>
    </row>
    <row r="1327" spans="14:19">
      <c r="N1327">
        <v>1326</v>
      </c>
      <c r="O1327">
        <v>0</v>
      </c>
      <c r="P1327">
        <v>16.689</v>
      </c>
      <c r="Q1327">
        <v>8.1750000000000007</v>
      </c>
      <c r="R1327">
        <v>0</v>
      </c>
      <c r="S1327">
        <v>6</v>
      </c>
    </row>
    <row r="1328" spans="14:19">
      <c r="N1328">
        <v>1327</v>
      </c>
      <c r="O1328">
        <v>0</v>
      </c>
      <c r="P1328">
        <v>17.62</v>
      </c>
      <c r="Q1328">
        <v>8.2029999999999994</v>
      </c>
      <c r="R1328">
        <v>0</v>
      </c>
      <c r="S1328">
        <v>6</v>
      </c>
    </row>
    <row r="1329" spans="14:19">
      <c r="N1329">
        <v>1328</v>
      </c>
      <c r="O1329">
        <v>0</v>
      </c>
      <c r="P1329">
        <v>18.689</v>
      </c>
      <c r="Q1329">
        <v>8.0640000000000001</v>
      </c>
      <c r="R1329">
        <v>0</v>
      </c>
      <c r="S1329">
        <v>6</v>
      </c>
    </row>
    <row r="1330" spans="14:19">
      <c r="N1330">
        <v>1329</v>
      </c>
      <c r="O1330">
        <v>0</v>
      </c>
      <c r="P1330">
        <v>19.259</v>
      </c>
      <c r="Q1330">
        <v>8.0359999999999996</v>
      </c>
      <c r="R1330">
        <v>0</v>
      </c>
      <c r="S1330">
        <v>6</v>
      </c>
    </row>
    <row r="1331" spans="14:19">
      <c r="N1331">
        <v>1330</v>
      </c>
      <c r="O1331">
        <v>0</v>
      </c>
      <c r="P1331">
        <v>19.759</v>
      </c>
      <c r="Q1331">
        <v>7.8140000000000001</v>
      </c>
      <c r="R1331">
        <v>0</v>
      </c>
      <c r="S1331">
        <v>6</v>
      </c>
    </row>
    <row r="1332" spans="14:19">
      <c r="N1332">
        <v>1331</v>
      </c>
      <c r="O1332">
        <v>0</v>
      </c>
      <c r="P1332">
        <v>18.564</v>
      </c>
      <c r="Q1332">
        <v>7.9390000000000001</v>
      </c>
      <c r="R1332">
        <v>0</v>
      </c>
      <c r="S1332">
        <v>6</v>
      </c>
    </row>
    <row r="1333" spans="14:19">
      <c r="N1333">
        <v>1332</v>
      </c>
      <c r="O1333">
        <v>0</v>
      </c>
      <c r="P1333">
        <v>19.55</v>
      </c>
      <c r="Q1333">
        <v>8.4250000000000007</v>
      </c>
      <c r="R1333">
        <v>0</v>
      </c>
      <c r="S1333">
        <v>6</v>
      </c>
    </row>
    <row r="1334" spans="14:19">
      <c r="N1334">
        <v>1333</v>
      </c>
      <c r="O1334">
        <v>0</v>
      </c>
      <c r="P1334">
        <v>19.689</v>
      </c>
      <c r="Q1334">
        <v>8.7029999999999994</v>
      </c>
      <c r="R1334">
        <v>0</v>
      </c>
      <c r="S1334">
        <v>6</v>
      </c>
    </row>
    <row r="1335" spans="14:19">
      <c r="N1335">
        <v>1334</v>
      </c>
      <c r="O1335">
        <v>0</v>
      </c>
      <c r="P1335">
        <v>19.731000000000002</v>
      </c>
      <c r="Q1335">
        <v>8.9529999999999994</v>
      </c>
      <c r="R1335">
        <v>0</v>
      </c>
      <c r="S1335">
        <v>6</v>
      </c>
    </row>
    <row r="1336" spans="14:19">
      <c r="N1336">
        <v>1335</v>
      </c>
      <c r="O1336">
        <v>0</v>
      </c>
      <c r="P1336">
        <v>19.731000000000002</v>
      </c>
      <c r="Q1336">
        <v>9.2170000000000005</v>
      </c>
      <c r="R1336">
        <v>0</v>
      </c>
      <c r="S1336">
        <v>6</v>
      </c>
    </row>
    <row r="1337" spans="14:19">
      <c r="N1337">
        <v>1336</v>
      </c>
      <c r="O1337">
        <v>0</v>
      </c>
      <c r="P1337">
        <v>19.341999999999999</v>
      </c>
      <c r="Q1337">
        <v>9.3979999999999997</v>
      </c>
      <c r="R1337">
        <v>0</v>
      </c>
      <c r="S1337">
        <v>6</v>
      </c>
    </row>
    <row r="1338" spans="14:19">
      <c r="N1338">
        <v>1337</v>
      </c>
      <c r="O1338">
        <v>0</v>
      </c>
      <c r="P1338">
        <v>18.648</v>
      </c>
      <c r="Q1338">
        <v>9.3279999999999994</v>
      </c>
      <c r="R1338">
        <v>0</v>
      </c>
      <c r="S1338">
        <v>6</v>
      </c>
    </row>
    <row r="1339" spans="14:19">
      <c r="N1339">
        <v>1338</v>
      </c>
      <c r="O1339">
        <v>0</v>
      </c>
      <c r="P1339">
        <v>18.759</v>
      </c>
      <c r="Q1339">
        <v>8.9949999999999992</v>
      </c>
      <c r="R1339">
        <v>0</v>
      </c>
      <c r="S1339">
        <v>6</v>
      </c>
    </row>
    <row r="1340" spans="14:19">
      <c r="N1340">
        <v>1339</v>
      </c>
      <c r="O1340">
        <v>0</v>
      </c>
      <c r="P1340">
        <v>18.995000000000001</v>
      </c>
      <c r="Q1340">
        <v>8.7729999999999997</v>
      </c>
      <c r="R1340">
        <v>0</v>
      </c>
      <c r="S1340">
        <v>6</v>
      </c>
    </row>
    <row r="1341" spans="14:19">
      <c r="N1341">
        <v>1340</v>
      </c>
      <c r="O1341">
        <v>0</v>
      </c>
      <c r="P1341">
        <v>18.55</v>
      </c>
      <c r="Q1341">
        <v>8.5779999999999994</v>
      </c>
      <c r="R1341">
        <v>0</v>
      </c>
      <c r="S1341">
        <v>6</v>
      </c>
    </row>
    <row r="1342" spans="14:19">
      <c r="N1342">
        <v>1341</v>
      </c>
      <c r="O1342">
        <v>0</v>
      </c>
      <c r="P1342">
        <v>17.634</v>
      </c>
      <c r="Q1342">
        <v>8.6750000000000007</v>
      </c>
      <c r="R1342">
        <v>0</v>
      </c>
      <c r="S1342">
        <v>6</v>
      </c>
    </row>
    <row r="1343" spans="14:19">
      <c r="N1343">
        <v>1342</v>
      </c>
      <c r="O1343">
        <v>0</v>
      </c>
      <c r="P1343">
        <v>16.995000000000001</v>
      </c>
      <c r="Q1343">
        <v>8.4670000000000005</v>
      </c>
      <c r="R1343">
        <v>0</v>
      </c>
      <c r="S1343">
        <v>6</v>
      </c>
    </row>
    <row r="1344" spans="14:19">
      <c r="N1344">
        <v>1343</v>
      </c>
      <c r="O1344">
        <v>0</v>
      </c>
      <c r="P1344">
        <v>16.495000000000001</v>
      </c>
      <c r="Q1344">
        <v>8.5640000000000001</v>
      </c>
      <c r="R1344">
        <v>0</v>
      </c>
      <c r="S1344">
        <v>6</v>
      </c>
    </row>
    <row r="1345" spans="14:19">
      <c r="N1345">
        <v>1344</v>
      </c>
      <c r="O1345">
        <v>0</v>
      </c>
      <c r="P1345">
        <v>15.911</v>
      </c>
      <c r="Q1345">
        <v>8.6750000000000007</v>
      </c>
      <c r="R1345">
        <v>0</v>
      </c>
      <c r="S1345">
        <v>6</v>
      </c>
    </row>
    <row r="1346" spans="14:19">
      <c r="N1346">
        <v>1345</v>
      </c>
      <c r="O1346">
        <v>0</v>
      </c>
      <c r="P1346">
        <v>16.634</v>
      </c>
      <c r="Q1346">
        <v>8.8000000000000007</v>
      </c>
      <c r="R1346">
        <v>0</v>
      </c>
      <c r="S1346">
        <v>6</v>
      </c>
    </row>
    <row r="1347" spans="14:19">
      <c r="N1347">
        <v>1346</v>
      </c>
      <c r="O1347">
        <v>0</v>
      </c>
      <c r="P1347">
        <v>17.509</v>
      </c>
      <c r="Q1347">
        <v>8.6199999999999992</v>
      </c>
      <c r="R1347">
        <v>0</v>
      </c>
      <c r="S1347">
        <v>6</v>
      </c>
    </row>
    <row r="1348" spans="14:19">
      <c r="N1348">
        <v>1347</v>
      </c>
      <c r="O1348">
        <v>0</v>
      </c>
      <c r="P1348">
        <v>17.327999999999999</v>
      </c>
      <c r="Q1348">
        <v>9.0640000000000001</v>
      </c>
      <c r="R1348">
        <v>0</v>
      </c>
      <c r="S1348">
        <v>6</v>
      </c>
    </row>
    <row r="1349" spans="14:19">
      <c r="N1349">
        <v>1348</v>
      </c>
      <c r="O1349">
        <v>0</v>
      </c>
      <c r="P1349">
        <v>16.856000000000002</v>
      </c>
      <c r="Q1349">
        <v>9.3279999999999994</v>
      </c>
      <c r="R1349">
        <v>0</v>
      </c>
      <c r="S1349">
        <v>6</v>
      </c>
    </row>
    <row r="1350" spans="14:19">
      <c r="N1350">
        <v>1349</v>
      </c>
      <c r="O1350">
        <v>0</v>
      </c>
      <c r="P1350">
        <v>16.245000000000001</v>
      </c>
      <c r="Q1350">
        <v>9.3420000000000005</v>
      </c>
      <c r="R1350">
        <v>0</v>
      </c>
      <c r="S1350">
        <v>6</v>
      </c>
    </row>
    <row r="1351" spans="14:19">
      <c r="N1351">
        <v>1350</v>
      </c>
      <c r="O1351">
        <v>0</v>
      </c>
      <c r="P1351">
        <v>14.786</v>
      </c>
      <c r="Q1351">
        <v>9.0640000000000001</v>
      </c>
      <c r="R1351">
        <v>0</v>
      </c>
      <c r="S1351">
        <v>6</v>
      </c>
    </row>
    <row r="1352" spans="14:19">
      <c r="N1352">
        <v>1351</v>
      </c>
      <c r="O1352">
        <v>0</v>
      </c>
      <c r="P1352">
        <v>14.481</v>
      </c>
      <c r="Q1352">
        <v>9.0090000000000003</v>
      </c>
      <c r="R1352">
        <v>0</v>
      </c>
      <c r="S1352">
        <v>6</v>
      </c>
    </row>
    <row r="1353" spans="14:19">
      <c r="N1353">
        <v>1352</v>
      </c>
      <c r="O1353">
        <v>0</v>
      </c>
      <c r="P1353">
        <v>14.439</v>
      </c>
      <c r="Q1353">
        <v>8.9670000000000005</v>
      </c>
      <c r="R1353">
        <v>0</v>
      </c>
      <c r="S1353">
        <v>6</v>
      </c>
    </row>
    <row r="1354" spans="14:19">
      <c r="N1354">
        <v>1353</v>
      </c>
      <c r="O1354">
        <v>0</v>
      </c>
      <c r="P1354">
        <v>14.009</v>
      </c>
      <c r="Q1354">
        <v>8.8420000000000005</v>
      </c>
      <c r="R1354">
        <v>0</v>
      </c>
      <c r="S1354">
        <v>6</v>
      </c>
    </row>
    <row r="1355" spans="14:19">
      <c r="N1355">
        <v>1354</v>
      </c>
      <c r="O1355">
        <v>0</v>
      </c>
      <c r="P1355">
        <v>13.744999999999999</v>
      </c>
      <c r="Q1355">
        <v>8.6059999999999999</v>
      </c>
      <c r="R1355">
        <v>0</v>
      </c>
      <c r="S1355">
        <v>6</v>
      </c>
    </row>
    <row r="1356" spans="14:19">
      <c r="N1356">
        <v>1355</v>
      </c>
      <c r="O1356">
        <v>0</v>
      </c>
      <c r="P1356">
        <v>13.994999999999999</v>
      </c>
      <c r="Q1356">
        <v>8.5500000000000007</v>
      </c>
      <c r="R1356">
        <v>0</v>
      </c>
      <c r="S1356">
        <v>6</v>
      </c>
    </row>
    <row r="1357" spans="14:19">
      <c r="N1357">
        <v>1356</v>
      </c>
      <c r="O1357">
        <v>0</v>
      </c>
      <c r="P1357">
        <v>15.217000000000001</v>
      </c>
      <c r="Q1357">
        <v>9.4809999999999999</v>
      </c>
      <c r="R1357">
        <v>0</v>
      </c>
      <c r="S1357">
        <v>6</v>
      </c>
    </row>
    <row r="1358" spans="14:19">
      <c r="N1358">
        <v>1357</v>
      </c>
      <c r="O1358">
        <v>0</v>
      </c>
      <c r="P1358">
        <v>15.494999999999999</v>
      </c>
      <c r="Q1358">
        <v>9.3140000000000001</v>
      </c>
      <c r="R1358">
        <v>0</v>
      </c>
      <c r="S1358">
        <v>6</v>
      </c>
    </row>
    <row r="1359" spans="14:19">
      <c r="N1359">
        <v>1358</v>
      </c>
      <c r="O1359">
        <v>0</v>
      </c>
      <c r="P1359">
        <v>15.884</v>
      </c>
      <c r="Q1359">
        <v>9.8559999999999999</v>
      </c>
      <c r="R1359">
        <v>0</v>
      </c>
      <c r="S1359">
        <v>6</v>
      </c>
    </row>
    <row r="1360" spans="14:19">
      <c r="N1360">
        <v>1359</v>
      </c>
      <c r="O1360">
        <v>0</v>
      </c>
      <c r="P1360">
        <v>16.036000000000001</v>
      </c>
      <c r="Q1360">
        <v>9.9809999999999999</v>
      </c>
      <c r="R1360">
        <v>0</v>
      </c>
      <c r="S1360">
        <v>6</v>
      </c>
    </row>
    <row r="1361" spans="14:19">
      <c r="N1361">
        <v>1360</v>
      </c>
      <c r="O1361">
        <v>0</v>
      </c>
      <c r="P1361">
        <v>16.759</v>
      </c>
      <c r="Q1361">
        <v>9.8699999999999992</v>
      </c>
      <c r="R1361">
        <v>0</v>
      </c>
      <c r="S1361">
        <v>6</v>
      </c>
    </row>
    <row r="1362" spans="14:19">
      <c r="N1362">
        <v>1361</v>
      </c>
      <c r="O1362">
        <v>0</v>
      </c>
      <c r="P1362">
        <v>17.495000000000001</v>
      </c>
      <c r="Q1362">
        <v>9.7729999999999997</v>
      </c>
      <c r="R1362">
        <v>0</v>
      </c>
      <c r="S1362">
        <v>6</v>
      </c>
    </row>
    <row r="1363" spans="14:19">
      <c r="N1363">
        <v>1362</v>
      </c>
      <c r="O1363">
        <v>0</v>
      </c>
      <c r="P1363">
        <v>17.466999999999999</v>
      </c>
      <c r="Q1363">
        <v>10.106</v>
      </c>
      <c r="R1363">
        <v>0</v>
      </c>
      <c r="S1363">
        <v>6</v>
      </c>
    </row>
    <row r="1364" spans="14:19">
      <c r="N1364">
        <v>1363</v>
      </c>
      <c r="O1364">
        <v>0</v>
      </c>
      <c r="P1364">
        <v>19.439</v>
      </c>
      <c r="Q1364">
        <v>10.273</v>
      </c>
      <c r="R1364">
        <v>0</v>
      </c>
      <c r="S1364">
        <v>6</v>
      </c>
    </row>
    <row r="1365" spans="14:19">
      <c r="N1365">
        <v>1364</v>
      </c>
      <c r="O1365">
        <v>0</v>
      </c>
      <c r="P1365">
        <v>11.259</v>
      </c>
      <c r="Q1365">
        <v>9.3420000000000005</v>
      </c>
      <c r="R1365">
        <v>0</v>
      </c>
      <c r="S1365">
        <v>6</v>
      </c>
    </row>
  </sheetData>
  <autoFilter ref="A1:S1" xr:uid="{DFEADE02-FAC3-4EF0-909C-37A62107F200}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A663-5BFE-4C1D-9BD3-2BCD9DC2D911}">
  <dimension ref="A1:F39"/>
  <sheetViews>
    <sheetView workbookViewId="0">
      <selection activeCell="E2" sqref="E2:E16"/>
    </sheetView>
  </sheetViews>
  <sheetFormatPr defaultRowHeight="18.75"/>
  <sheetData>
    <row r="1" spans="1:6">
      <c r="A1" t="s">
        <v>137</v>
      </c>
      <c r="E1" t="s">
        <v>66</v>
      </c>
    </row>
    <row r="2" spans="1:6">
      <c r="A2" t="s">
        <v>136</v>
      </c>
      <c r="B2">
        <v>747.81976744186045</v>
      </c>
      <c r="E2" t="s">
        <v>136</v>
      </c>
      <c r="F2">
        <v>7257.6162790697681</v>
      </c>
    </row>
    <row r="3" spans="1:6">
      <c r="A3" t="s">
        <v>136</v>
      </c>
      <c r="B3">
        <v>534.88372093023258</v>
      </c>
      <c r="E3" t="s">
        <v>136</v>
      </c>
      <c r="F3">
        <v>4873.3430232558139</v>
      </c>
    </row>
    <row r="4" spans="1:6">
      <c r="A4" t="s">
        <v>136</v>
      </c>
      <c r="B4">
        <v>288.89534883720933</v>
      </c>
      <c r="E4" t="s">
        <v>136</v>
      </c>
      <c r="F4">
        <v>3151.5406976744189</v>
      </c>
    </row>
    <row r="5" spans="1:6">
      <c r="A5" t="s">
        <v>136</v>
      </c>
      <c r="B5">
        <v>784.47674418604652</v>
      </c>
      <c r="E5" t="s">
        <v>136</v>
      </c>
      <c r="F5">
        <v>2902.4127906976746</v>
      </c>
    </row>
    <row r="6" spans="1:6">
      <c r="A6" t="s">
        <v>136</v>
      </c>
      <c r="B6">
        <v>907.03488372093022</v>
      </c>
      <c r="E6" t="s">
        <v>136</v>
      </c>
      <c r="F6">
        <v>2683.8953488372094</v>
      </c>
    </row>
    <row r="7" spans="1:6">
      <c r="A7" t="s">
        <v>136</v>
      </c>
      <c r="B7">
        <v>451.39534883720933</v>
      </c>
      <c r="E7" t="s">
        <v>136</v>
      </c>
      <c r="F7">
        <v>718.22674418604652</v>
      </c>
    </row>
    <row r="8" spans="1:6">
      <c r="A8" t="s">
        <v>136</v>
      </c>
      <c r="B8">
        <v>1320.5523255813955</v>
      </c>
      <c r="E8" t="s">
        <v>136</v>
      </c>
      <c r="F8">
        <v>1074.3023255813953</v>
      </c>
    </row>
    <row r="9" spans="1:6">
      <c r="A9" t="s">
        <v>136</v>
      </c>
      <c r="B9">
        <v>1237.3546511627908</v>
      </c>
      <c r="E9" t="s">
        <v>136</v>
      </c>
      <c r="F9">
        <v>640.87209302325584</v>
      </c>
    </row>
    <row r="10" spans="1:6">
      <c r="A10" t="s">
        <v>136</v>
      </c>
      <c r="B10">
        <v>1222.3837209302326</v>
      </c>
      <c r="E10" t="s">
        <v>136</v>
      </c>
      <c r="F10">
        <v>1665.6395348837209</v>
      </c>
    </row>
    <row r="11" spans="1:6">
      <c r="A11" t="s">
        <v>136</v>
      </c>
      <c r="B11">
        <v>298.05232558139534</v>
      </c>
      <c r="E11" t="s">
        <v>136</v>
      </c>
      <c r="F11">
        <v>516.68604651162798</v>
      </c>
    </row>
    <row r="12" spans="1:6">
      <c r="A12" t="s">
        <v>136</v>
      </c>
      <c r="B12">
        <v>889.76744186046517</v>
      </c>
      <c r="E12" t="s">
        <v>136</v>
      </c>
      <c r="F12">
        <v>5395.4651162790697</v>
      </c>
    </row>
    <row r="13" spans="1:6">
      <c r="A13" t="s">
        <v>136</v>
      </c>
      <c r="B13">
        <v>718.08139534883719</v>
      </c>
      <c r="E13" t="s">
        <v>136</v>
      </c>
      <c r="F13">
        <v>8112.1802325581402</v>
      </c>
    </row>
    <row r="14" spans="1:6">
      <c r="A14" t="s">
        <v>136</v>
      </c>
      <c r="B14">
        <v>741.54069767441865</v>
      </c>
      <c r="E14" t="s">
        <v>136</v>
      </c>
      <c r="F14">
        <v>6515.4651162790697</v>
      </c>
    </row>
    <row r="15" spans="1:6">
      <c r="A15" t="s">
        <v>136</v>
      </c>
      <c r="B15">
        <v>392.61627906976747</v>
      </c>
      <c r="E15" t="s">
        <v>136</v>
      </c>
      <c r="F15">
        <v>5984.5930232558139</v>
      </c>
    </row>
    <row r="16" spans="1:6">
      <c r="A16" t="s">
        <v>136</v>
      </c>
      <c r="B16">
        <v>746.1627906976745</v>
      </c>
      <c r="E16" t="s">
        <v>136</v>
      </c>
      <c r="F16">
        <v>4726.4825581395353</v>
      </c>
    </row>
    <row r="17" spans="1:6">
      <c r="A17" t="s">
        <v>136</v>
      </c>
      <c r="B17">
        <v>423.69186046511629</v>
      </c>
      <c r="E17" t="s">
        <v>138</v>
      </c>
      <c r="F17">
        <v>525.67637026307182</v>
      </c>
    </row>
    <row r="18" spans="1:6">
      <c r="A18" t="s">
        <v>136</v>
      </c>
      <c r="B18">
        <v>802.06395348837214</v>
      </c>
      <c r="E18" t="s">
        <v>138</v>
      </c>
      <c r="F18">
        <v>198.37542549274502</v>
      </c>
    </row>
    <row r="19" spans="1:6">
      <c r="A19" t="s">
        <v>138</v>
      </c>
      <c r="B19">
        <v>92.307692307692307</v>
      </c>
      <c r="E19" t="s">
        <v>138</v>
      </c>
      <c r="F19">
        <v>350</v>
      </c>
    </row>
    <row r="20" spans="1:6">
      <c r="A20" t="s">
        <v>138</v>
      </c>
      <c r="B20">
        <v>88.52620886510536</v>
      </c>
      <c r="E20" t="s">
        <v>138</v>
      </c>
      <c r="F20">
        <v>200</v>
      </c>
    </row>
    <row r="21" spans="1:6">
      <c r="A21" t="s">
        <v>138</v>
      </c>
      <c r="B21">
        <v>80.392314494734308</v>
      </c>
      <c r="E21" t="s">
        <v>138</v>
      </c>
      <c r="F21">
        <v>343.26609016455967</v>
      </c>
    </row>
    <row r="22" spans="1:6">
      <c r="A22" t="s">
        <v>138</v>
      </c>
      <c r="B22">
        <v>11.574520621937573</v>
      </c>
      <c r="E22" t="s">
        <v>138</v>
      </c>
      <c r="F22">
        <v>778.98050925850794</v>
      </c>
    </row>
    <row r="23" spans="1:6">
      <c r="A23" t="s">
        <v>138</v>
      </c>
      <c r="B23">
        <v>19.287643050019287</v>
      </c>
      <c r="E23" t="s">
        <v>138</v>
      </c>
      <c r="F23">
        <v>346.87270451886718</v>
      </c>
    </row>
    <row r="24" spans="1:6">
      <c r="A24" t="s">
        <v>138</v>
      </c>
      <c r="B24">
        <v>12.240817686621465</v>
      </c>
      <c r="E24" t="s">
        <v>138</v>
      </c>
      <c r="F24">
        <v>316.42417246289341</v>
      </c>
    </row>
    <row r="25" spans="1:6">
      <c r="A25" t="s">
        <v>138</v>
      </c>
      <c r="B25">
        <v>37.202893558387871</v>
      </c>
      <c r="E25" t="s">
        <v>138</v>
      </c>
      <c r="F25">
        <v>339.24428101153433</v>
      </c>
    </row>
    <row r="26" spans="1:6">
      <c r="A26" t="s">
        <v>138</v>
      </c>
      <c r="B26">
        <v>32.333857860360844</v>
      </c>
      <c r="E26" t="s">
        <v>138</v>
      </c>
      <c r="F26">
        <v>225.96548890714874</v>
      </c>
    </row>
    <row r="27" spans="1:6">
      <c r="A27" t="s">
        <v>138</v>
      </c>
      <c r="B27">
        <v>6.1402850456768983</v>
      </c>
    </row>
    <row r="28" spans="1:6">
      <c r="A28" t="s">
        <v>138</v>
      </c>
      <c r="B28">
        <v>9.0009000900090008</v>
      </c>
    </row>
    <row r="29" spans="1:6">
      <c r="A29" t="s">
        <v>138</v>
      </c>
      <c r="B29">
        <v>16.310749992448727</v>
      </c>
    </row>
    <row r="30" spans="1:6">
      <c r="A30" t="s">
        <v>138</v>
      </c>
      <c r="B30">
        <v>18.355135154978523</v>
      </c>
    </row>
    <row r="31" spans="1:6">
      <c r="A31" t="s">
        <v>138</v>
      </c>
      <c r="B31">
        <v>100</v>
      </c>
    </row>
    <row r="32" spans="1:6">
      <c r="A32" t="s">
        <v>138</v>
      </c>
      <c r="B32">
        <v>105</v>
      </c>
    </row>
    <row r="33" spans="1:2">
      <c r="A33" t="s">
        <v>138</v>
      </c>
      <c r="B33">
        <v>127.42932573549592</v>
      </c>
    </row>
    <row r="34" spans="1:2">
      <c r="A34" t="s">
        <v>138</v>
      </c>
      <c r="B34">
        <v>98.745462410893978</v>
      </c>
    </row>
    <row r="35" spans="1:2">
      <c r="A35" t="s">
        <v>138</v>
      </c>
      <c r="B35">
        <v>63.990054117302911</v>
      </c>
    </row>
    <row r="36" spans="1:2">
      <c r="A36" t="s">
        <v>138</v>
      </c>
      <c r="B36">
        <v>41.26720214350221</v>
      </c>
    </row>
    <row r="37" spans="1:2">
      <c r="A37" t="s">
        <v>138</v>
      </c>
      <c r="B37">
        <v>11.55924595185574</v>
      </c>
    </row>
    <row r="38" spans="1:2">
      <c r="A38" t="s">
        <v>138</v>
      </c>
      <c r="B38">
        <v>23.705108450871162</v>
      </c>
    </row>
    <row r="39" spans="1:2">
      <c r="A39" t="s">
        <v>138</v>
      </c>
      <c r="B39">
        <v>23.841122757941083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FDFC-B25C-4AB5-ACB9-04782279FD2A}">
  <dimension ref="A1:G37"/>
  <sheetViews>
    <sheetView workbookViewId="0">
      <selection activeCell="F2" sqref="F2:F16"/>
    </sheetView>
  </sheetViews>
  <sheetFormatPr defaultRowHeight="18.75"/>
  <sheetData>
    <row r="1" spans="1:7">
      <c r="A1" t="s">
        <v>64</v>
      </c>
      <c r="F1" t="s">
        <v>66</v>
      </c>
    </row>
    <row r="2" spans="1:7">
      <c r="A2" t="s">
        <v>136</v>
      </c>
      <c r="B2">
        <v>541.01744186046517</v>
      </c>
      <c r="F2" t="s">
        <v>136</v>
      </c>
      <c r="G2">
        <v>349.3604651162791</v>
      </c>
    </row>
    <row r="3" spans="1:7">
      <c r="A3" t="s">
        <v>136</v>
      </c>
      <c r="B3">
        <v>193.16860465116281</v>
      </c>
      <c r="F3" t="s">
        <v>136</v>
      </c>
      <c r="G3">
        <v>129.79651162790699</v>
      </c>
    </row>
    <row r="4" spans="1:7">
      <c r="A4" t="s">
        <v>136</v>
      </c>
      <c r="B4">
        <v>138.57558139534885</v>
      </c>
      <c r="F4" t="s">
        <v>136</v>
      </c>
      <c r="G4">
        <v>117.73255813953489</v>
      </c>
    </row>
    <row r="5" spans="1:7">
      <c r="A5" t="s">
        <v>136</v>
      </c>
      <c r="B5">
        <v>360.87209302325584</v>
      </c>
      <c r="F5" t="s">
        <v>136</v>
      </c>
      <c r="G5">
        <v>195.52325581395348</v>
      </c>
    </row>
    <row r="6" spans="1:7">
      <c r="A6" t="s">
        <v>136</v>
      </c>
      <c r="B6">
        <v>252.73255813953489</v>
      </c>
      <c r="F6" t="s">
        <v>136</v>
      </c>
      <c r="G6">
        <v>93.808139534883722</v>
      </c>
    </row>
    <row r="7" spans="1:7">
      <c r="A7" t="s">
        <v>136</v>
      </c>
      <c r="B7">
        <v>382.35465116279073</v>
      </c>
      <c r="F7" t="s">
        <v>136</v>
      </c>
      <c r="G7">
        <v>90.872093023255815</v>
      </c>
    </row>
    <row r="8" spans="1:7">
      <c r="A8" t="s">
        <v>136</v>
      </c>
      <c r="B8">
        <v>428.28488372093022</v>
      </c>
      <c r="F8" t="s">
        <v>136</v>
      </c>
      <c r="G8">
        <v>60</v>
      </c>
    </row>
    <row r="9" spans="1:7">
      <c r="A9" t="s">
        <v>136</v>
      </c>
      <c r="B9">
        <v>335.9011627906977</v>
      </c>
      <c r="F9" t="s">
        <v>136</v>
      </c>
      <c r="G9">
        <v>43.575581395348841</v>
      </c>
    </row>
    <row r="10" spans="1:7">
      <c r="A10" t="s">
        <v>136</v>
      </c>
      <c r="B10">
        <v>109.18604651162791</v>
      </c>
      <c r="F10" t="s">
        <v>136</v>
      </c>
      <c r="G10">
        <v>250.66860465116281</v>
      </c>
    </row>
    <row r="11" spans="1:7">
      <c r="A11" t="s">
        <v>136</v>
      </c>
      <c r="B11">
        <v>1150.6686046511629</v>
      </c>
      <c r="F11" t="s">
        <v>136</v>
      </c>
      <c r="G11">
        <v>210.58139534883722</v>
      </c>
    </row>
    <row r="12" spans="1:7">
      <c r="A12" t="s">
        <v>136</v>
      </c>
      <c r="B12">
        <v>606.77325581395348</v>
      </c>
      <c r="F12" t="s">
        <v>136</v>
      </c>
      <c r="G12">
        <v>709.53488372093022</v>
      </c>
    </row>
    <row r="13" spans="1:7">
      <c r="A13" t="s">
        <v>136</v>
      </c>
      <c r="B13">
        <v>1023.6046511627908</v>
      </c>
      <c r="F13" t="s">
        <v>136</v>
      </c>
      <c r="G13">
        <v>1608.1686046511629</v>
      </c>
    </row>
    <row r="14" spans="1:7">
      <c r="A14" t="s">
        <v>136</v>
      </c>
      <c r="B14">
        <v>946.2209302325582</v>
      </c>
      <c r="F14" t="s">
        <v>136</v>
      </c>
      <c r="G14">
        <v>1123.9244186046512</v>
      </c>
    </row>
    <row r="15" spans="1:7">
      <c r="A15" t="s">
        <v>136</v>
      </c>
      <c r="B15">
        <v>698.19767441860472</v>
      </c>
      <c r="F15" t="s">
        <v>136</v>
      </c>
      <c r="G15">
        <v>670.90116279069775</v>
      </c>
    </row>
    <row r="16" spans="1:7">
      <c r="A16" t="s">
        <v>136</v>
      </c>
      <c r="B16">
        <v>565.17441860465124</v>
      </c>
      <c r="F16" t="s">
        <v>136</v>
      </c>
      <c r="G16">
        <v>1861.0174418604652</v>
      </c>
    </row>
    <row r="17" spans="1:7">
      <c r="A17" t="s">
        <v>138</v>
      </c>
      <c r="B17">
        <v>390.98436062557499</v>
      </c>
      <c r="F17" t="s">
        <v>138</v>
      </c>
      <c r="G17">
        <v>0</v>
      </c>
    </row>
    <row r="18" spans="1:7">
      <c r="A18" t="s">
        <v>138</v>
      </c>
      <c r="B18">
        <v>95.998464024575611</v>
      </c>
      <c r="F18" t="s">
        <v>138</v>
      </c>
      <c r="G18">
        <v>65</v>
      </c>
    </row>
    <row r="19" spans="1:7">
      <c r="A19" t="s">
        <v>138</v>
      </c>
      <c r="B19">
        <v>120</v>
      </c>
      <c r="F19" t="s">
        <v>138</v>
      </c>
      <c r="G19">
        <v>63</v>
      </c>
    </row>
    <row r="20" spans="1:7">
      <c r="A20" t="s">
        <v>138</v>
      </c>
      <c r="B20">
        <v>90</v>
      </c>
      <c r="F20" t="s">
        <v>138</v>
      </c>
      <c r="G20">
        <v>70</v>
      </c>
    </row>
    <row r="21" spans="1:7">
      <c r="A21" t="s">
        <v>138</v>
      </c>
      <c r="B21">
        <v>40</v>
      </c>
      <c r="F21" t="s">
        <v>138</v>
      </c>
      <c r="G21">
        <v>125</v>
      </c>
    </row>
    <row r="22" spans="1:7">
      <c r="A22" t="s">
        <v>138</v>
      </c>
      <c r="B22">
        <v>80</v>
      </c>
      <c r="F22" t="s">
        <v>138</v>
      </c>
      <c r="G22">
        <v>20</v>
      </c>
    </row>
    <row r="23" spans="1:7">
      <c r="A23" t="s">
        <v>138</v>
      </c>
      <c r="B23">
        <v>60</v>
      </c>
      <c r="F23" t="s">
        <v>138</v>
      </c>
      <c r="G23">
        <v>20</v>
      </c>
    </row>
    <row r="24" spans="1:7">
      <c r="A24" t="s">
        <v>138</v>
      </c>
      <c r="B24">
        <v>80</v>
      </c>
      <c r="F24" t="s">
        <v>138</v>
      </c>
      <c r="G24">
        <v>70</v>
      </c>
    </row>
    <row r="25" spans="1:7">
      <c r="A25" t="s">
        <v>138</v>
      </c>
      <c r="B25">
        <v>350</v>
      </c>
    </row>
    <row r="26" spans="1:7">
      <c r="A26" t="s">
        <v>138</v>
      </c>
      <c r="B26">
        <v>225</v>
      </c>
    </row>
    <row r="27" spans="1:7">
      <c r="A27" t="s">
        <v>138</v>
      </c>
      <c r="B27">
        <v>35</v>
      </c>
    </row>
    <row r="28" spans="1:7">
      <c r="A28" t="s">
        <v>138</v>
      </c>
      <c r="B28">
        <v>140</v>
      </c>
    </row>
    <row r="29" spans="1:7">
      <c r="A29" t="s">
        <v>138</v>
      </c>
      <c r="B29">
        <v>90</v>
      </c>
    </row>
    <row r="30" spans="1:7">
      <c r="A30" t="s">
        <v>138</v>
      </c>
      <c r="B30">
        <v>100</v>
      </c>
    </row>
    <row r="31" spans="1:7">
      <c r="A31" t="s">
        <v>138</v>
      </c>
      <c r="B31">
        <v>125</v>
      </c>
    </row>
    <row r="32" spans="1:7">
      <c r="A32" t="s">
        <v>138</v>
      </c>
      <c r="B32">
        <v>235</v>
      </c>
    </row>
    <row r="33" spans="1:2">
      <c r="A33" t="s">
        <v>138</v>
      </c>
      <c r="B33">
        <v>135</v>
      </c>
    </row>
    <row r="34" spans="1:2">
      <c r="A34" t="s">
        <v>138</v>
      </c>
      <c r="B34">
        <v>75</v>
      </c>
    </row>
    <row r="35" spans="1:2">
      <c r="A35" t="s">
        <v>138</v>
      </c>
      <c r="B35">
        <v>70</v>
      </c>
    </row>
    <row r="36" spans="1:2">
      <c r="A36" t="s">
        <v>138</v>
      </c>
      <c r="B36">
        <v>65</v>
      </c>
    </row>
    <row r="37" spans="1:2">
      <c r="A37" t="s">
        <v>138</v>
      </c>
      <c r="B37">
        <v>35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biliary</vt:lpstr>
      <vt:lpstr>stromal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伊藤喜介</dc:creator>
  <cp:lastModifiedBy>喜介 伊藤</cp:lastModifiedBy>
  <dcterms:created xsi:type="dcterms:W3CDTF">2015-06-05T18:19:34Z</dcterms:created>
  <dcterms:modified xsi:type="dcterms:W3CDTF">2026-01-29T13:25:16Z</dcterms:modified>
</cp:coreProperties>
</file>