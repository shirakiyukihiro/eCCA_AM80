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97475821bd911288/デスクトップ/論文用データ/IoTB_CBDL_CreT解析/IoTB/"/>
    </mc:Choice>
  </mc:AlternateContent>
  <xr:revisionPtr revIDLastSave="136" documentId="11_AD4D066CA252ABDACC10488F29D3D93673EEDF52" xr6:coauthVersionLast="47" xr6:coauthVersionMax="47" xr10:uidLastSave="{757A8CA4-C75A-49BE-A93D-BC31F715A2F6}"/>
  <bookViews>
    <workbookView xWindow="7170" yWindow="780" windowWidth="19560" windowHeight="199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D25" i="1"/>
  <c r="D24" i="1"/>
  <c r="E13" i="1"/>
  <c r="D13" i="1"/>
  <c r="D12" i="1"/>
  <c r="D11" i="1"/>
  <c r="D10" i="1"/>
  <c r="D9" i="1"/>
  <c r="D23" i="1"/>
  <c r="D22" i="1"/>
  <c r="D18" i="1"/>
  <c r="D17" i="1"/>
  <c r="D34" i="1"/>
  <c r="D33" i="1"/>
  <c r="D8" i="1"/>
  <c r="D7" i="1"/>
  <c r="D3" i="1"/>
  <c r="D15" i="1"/>
  <c r="D16" i="1"/>
  <c r="D4" i="1"/>
  <c r="D5" i="1"/>
  <c r="D27" i="1"/>
  <c r="D28" i="1"/>
  <c r="D19" i="1"/>
  <c r="D20" i="1"/>
  <c r="D29" i="1"/>
  <c r="D6" i="1"/>
  <c r="D21" i="1"/>
  <c r="D30" i="1"/>
  <c r="D31" i="1"/>
  <c r="D32" i="1"/>
  <c r="D35" i="1"/>
  <c r="D36" i="1"/>
  <c r="D2" i="1"/>
  <c r="E37" i="1" l="1"/>
  <c r="D37" i="1"/>
</calcChain>
</file>

<file path=xl/sharedStrings.xml><?xml version="1.0" encoding="utf-8"?>
<sst xmlns="http://schemas.openxmlformats.org/spreadsheetml/2006/main" count="45" uniqueCount="35">
  <si>
    <t>IoTB_01_RFP_ACTA2_x20_01.csv</t>
  </si>
  <si>
    <t>IoTB_01_RFP_ACTA2_x20_02.csv</t>
  </si>
  <si>
    <t>IoTB_01_RFP_Col1a1_x20_01.csv</t>
  </si>
  <si>
    <t>IoTB_01_RFP_Col1a1_x20_02.csv</t>
  </si>
  <si>
    <t>IoTB_01_RFP_Pdgfrb_x20_01.csv</t>
  </si>
  <si>
    <t>IoTB_01_RFP_Pdgfrb_x20_02.csv</t>
  </si>
  <si>
    <t>IoTB_02_RFP_ACTA2_x20_01.csv</t>
  </si>
  <si>
    <t>IoTB_02_RFP_ACTA2_x20_02.csv</t>
  </si>
  <si>
    <t>IoTB_02_RFP_Col1a1_x20_01.csv</t>
  </si>
  <si>
    <t>IoTB_02_RFP_Col1a1_x20_02.csv</t>
  </si>
  <si>
    <t>IoTB_02_RFP_Pdgfrb_x20_01.csv</t>
  </si>
  <si>
    <t>IoTB_02_RFP_Pdgfrb_x20_02.csv</t>
  </si>
  <si>
    <t>IoTB_03_RFP_Col1a1_x20_01.csv</t>
  </si>
  <si>
    <t>IoTB_03_RFP_Col1a1_x20_02.csv</t>
  </si>
  <si>
    <t>IoTB_03_RFP_Pdgfrb_x20_01.csv</t>
  </si>
  <si>
    <t>IoTB_04_RFP_ACTA2_x20_01.csv</t>
  </si>
  <si>
    <t>IoTB_04_RFP_Col1a1_x20_01.csv</t>
  </si>
  <si>
    <t>IoTB_04_RFP_Pdgfrb_x20_01.csv</t>
  </si>
  <si>
    <t>IoTB_04_RFP_Pdgfrb_x20_02.csv</t>
  </si>
  <si>
    <t>IoTB_04_RFP_Pdgfrb_x20_03.csv</t>
  </si>
  <si>
    <t>IoTB_05_RFP_ACTA2_x20_01.csv</t>
  </si>
  <si>
    <t>IoTB_05_RFP_ACTA2_x20_02.csv</t>
  </si>
  <si>
    <t>IoTB_05_RFP_Col1a1_x20_02.csv</t>
  </si>
  <si>
    <t>IoTB_05_RFP_Col1a1_x20_03.csv</t>
  </si>
  <si>
    <t>IoTB_05_RFP_Pdgfrb_x20_01.csv</t>
  </si>
  <si>
    <t>RFP+</t>
    <phoneticPr fontId="1"/>
  </si>
  <si>
    <t>merge</t>
    <phoneticPr fontId="1"/>
  </si>
  <si>
    <t>%</t>
    <phoneticPr fontId="1"/>
  </si>
  <si>
    <t>IoTB_05_RFP_Pdgfrb_x20_02.csv</t>
    <phoneticPr fontId="1"/>
  </si>
  <si>
    <t>IoTB_04_RFP_Acta2_x20_02.csv</t>
  </si>
  <si>
    <t>IoTB_06_RFP_Col1a1_x20_01.csv</t>
  </si>
  <si>
    <t>IoTB_03_RFP_Acta2_x20_01.csv</t>
  </si>
  <si>
    <t>IoTB_03_RFP_Acta2_x20_02.csv</t>
  </si>
  <si>
    <t>IoTB_04_RFP_Acta2_x20_01.csv</t>
  </si>
  <si>
    <t>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</si>
</sst>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F2" sqref="F2:F12"/>
    </sheetView>
  </sheetViews>
  <sheetFormatPr defaultRowHeight="18.75"/>
  <cols>
    <col min="1" max="1" width="32.375" bestFit="1" customWidth="1"/>
  </cols>
  <sheetData>
    <row r="1" spans="1:6">
      <c r="B1" t="s">
        <v>25</v>
      </c>
      <c r="C1" t="s">
        <v>26</v>
      </c>
      <c r="D1" t="s">
        <v>27</v>
      </c>
    </row>
    <row r="2" spans="1:6">
      <c r="A2" t="s">
        <v>0</v>
      </c>
      <c r="B2">
        <v>187</v>
      </c>
      <c r="C2">
        <v>53</v>
      </c>
      <c r="D2">
        <f>C2/B2%</f>
        <v>28.342245989304811</v>
      </c>
      <c r="F2" t="s">
        <v>34</v>
      </c>
    </row>
    <row r="3" spans="1:6">
      <c r="A3" t="s">
        <v>1</v>
      </c>
      <c r="B3">
        <v>48</v>
      </c>
      <c r="C3">
        <v>20</v>
      </c>
      <c r="D3">
        <f t="shared" ref="D3:D36" si="0">C3/B3%</f>
        <v>41.666666666666671</v>
      </c>
      <c r="F3" t="s">
        <v>34</v>
      </c>
    </row>
    <row r="4" spans="1:6">
      <c r="A4" t="s">
        <v>6</v>
      </c>
      <c r="B4">
        <v>22</v>
      </c>
      <c r="C4">
        <v>22</v>
      </c>
      <c r="D4">
        <f>C4/B4%</f>
        <v>100</v>
      </c>
      <c r="F4" t="s">
        <v>34</v>
      </c>
    </row>
    <row r="5" spans="1:6">
      <c r="A5" t="s">
        <v>7</v>
      </c>
      <c r="B5">
        <v>27</v>
      </c>
      <c r="C5">
        <v>17</v>
      </c>
      <c r="D5">
        <f>C5/B5%</f>
        <v>62.962962962962962</v>
      </c>
      <c r="F5" t="s">
        <v>34</v>
      </c>
    </row>
    <row r="6" spans="1:6">
      <c r="A6" t="s">
        <v>15</v>
      </c>
      <c r="B6">
        <v>35</v>
      </c>
      <c r="C6">
        <v>26</v>
      </c>
      <c r="D6">
        <f>C6/B6%</f>
        <v>74.285714285714292</v>
      </c>
      <c r="F6" t="s">
        <v>34</v>
      </c>
    </row>
    <row r="7" spans="1:6">
      <c r="A7" t="s">
        <v>20</v>
      </c>
      <c r="B7">
        <v>25</v>
      </c>
      <c r="C7">
        <v>10</v>
      </c>
      <c r="D7">
        <f t="shared" ref="D7:D12" si="1">C7/B7%</f>
        <v>40</v>
      </c>
      <c r="F7" t="s">
        <v>34</v>
      </c>
    </row>
    <row r="8" spans="1:6">
      <c r="A8" t="s">
        <v>21</v>
      </c>
      <c r="B8">
        <v>67</v>
      </c>
      <c r="C8">
        <v>62</v>
      </c>
      <c r="D8">
        <f t="shared" si="1"/>
        <v>92.537313432835816</v>
      </c>
      <c r="F8" t="s">
        <v>34</v>
      </c>
    </row>
    <row r="9" spans="1:6">
      <c r="A9" t="s">
        <v>31</v>
      </c>
      <c r="B9">
        <v>50</v>
      </c>
      <c r="C9">
        <v>41</v>
      </c>
      <c r="D9">
        <f t="shared" si="1"/>
        <v>82</v>
      </c>
      <c r="F9" t="s">
        <v>34</v>
      </c>
    </row>
    <row r="10" spans="1:6">
      <c r="A10" t="s">
        <v>32</v>
      </c>
      <c r="B10">
        <v>79</v>
      </c>
      <c r="C10">
        <v>31</v>
      </c>
      <c r="D10">
        <f t="shared" si="1"/>
        <v>39.24050632911392</v>
      </c>
      <c r="F10" t="s">
        <v>34</v>
      </c>
    </row>
    <row r="11" spans="1:6">
      <c r="A11" t="s">
        <v>33</v>
      </c>
      <c r="B11">
        <v>149</v>
      </c>
      <c r="C11">
        <v>108</v>
      </c>
      <c r="D11">
        <f t="shared" si="1"/>
        <v>72.483221476510067</v>
      </c>
      <c r="F11" t="s">
        <v>34</v>
      </c>
    </row>
    <row r="12" spans="1:6">
      <c r="A12" t="s">
        <v>29</v>
      </c>
      <c r="B12">
        <v>101</v>
      </c>
      <c r="C12">
        <v>50</v>
      </c>
      <c r="D12">
        <f t="shared" si="1"/>
        <v>49.504950495049506</v>
      </c>
      <c r="F12" t="s">
        <v>34</v>
      </c>
    </row>
    <row r="13" spans="1:6">
      <c r="D13">
        <f>AVERAGE(D2:D12)</f>
        <v>62.093052876196182</v>
      </c>
      <c r="E13">
        <f>STDEV(D2:D12)</f>
        <v>23.963734963395826</v>
      </c>
    </row>
    <row r="15" spans="1:6">
      <c r="A15" t="s">
        <v>2</v>
      </c>
      <c r="B15">
        <v>168</v>
      </c>
      <c r="C15">
        <v>152</v>
      </c>
      <c r="D15">
        <f t="shared" si="0"/>
        <v>90.476190476190482</v>
      </c>
    </row>
    <row r="16" spans="1:6">
      <c r="A16" t="s">
        <v>3</v>
      </c>
      <c r="B16">
        <v>99</v>
      </c>
      <c r="C16">
        <v>72</v>
      </c>
      <c r="D16">
        <f t="shared" si="0"/>
        <v>72.727272727272734</v>
      </c>
    </row>
    <row r="17" spans="1:5">
      <c r="A17" t="s">
        <v>8</v>
      </c>
      <c r="B17">
        <v>63</v>
      </c>
      <c r="C17">
        <v>42</v>
      </c>
      <c r="D17">
        <f t="shared" ref="D17:D18" si="2">C17/B17%</f>
        <v>66.666666666666671</v>
      </c>
    </row>
    <row r="18" spans="1:5">
      <c r="A18" t="s">
        <v>9</v>
      </c>
      <c r="B18">
        <v>78</v>
      </c>
      <c r="C18">
        <v>32</v>
      </c>
      <c r="D18">
        <f t="shared" si="2"/>
        <v>41.025641025641022</v>
      </c>
    </row>
    <row r="19" spans="1:5">
      <c r="A19" t="s">
        <v>12</v>
      </c>
      <c r="B19">
        <v>86</v>
      </c>
      <c r="C19">
        <v>46</v>
      </c>
      <c r="D19">
        <f>C19/B19%</f>
        <v>53.488372093023258</v>
      </c>
    </row>
    <row r="20" spans="1:5">
      <c r="A20" t="s">
        <v>13</v>
      </c>
      <c r="B20">
        <v>50</v>
      </c>
      <c r="C20">
        <v>31</v>
      </c>
      <c r="D20">
        <f>C20/B20%</f>
        <v>62</v>
      </c>
    </row>
    <row r="21" spans="1:5">
      <c r="A21" t="s">
        <v>16</v>
      </c>
      <c r="B21">
        <v>468</v>
      </c>
      <c r="C21">
        <v>323</v>
      </c>
      <c r="D21">
        <f>C21/B21%</f>
        <v>69.017094017094024</v>
      </c>
    </row>
    <row r="22" spans="1:5">
      <c r="A22" t="s">
        <v>22</v>
      </c>
      <c r="B22">
        <v>53</v>
      </c>
      <c r="C22">
        <v>38</v>
      </c>
      <c r="D22">
        <f t="shared" ref="D22:D24" si="3">C22/B22%</f>
        <v>71.698113207547166</v>
      </c>
    </row>
    <row r="23" spans="1:5">
      <c r="A23" t="s">
        <v>23</v>
      </c>
      <c r="B23">
        <v>41</v>
      </c>
      <c r="C23">
        <v>31</v>
      </c>
      <c r="D23">
        <f t="shared" si="3"/>
        <v>75.609756097560975</v>
      </c>
    </row>
    <row r="24" spans="1:5">
      <c r="A24" t="s">
        <v>30</v>
      </c>
      <c r="B24">
        <v>86</v>
      </c>
      <c r="C24">
        <v>66</v>
      </c>
      <c r="D24">
        <f t="shared" si="3"/>
        <v>76.744186046511629</v>
      </c>
    </row>
    <row r="25" spans="1:5">
      <c r="D25">
        <f>AVERAGE(D15:D24)</f>
        <v>67.945329235750791</v>
      </c>
      <c r="E25">
        <f>STDEV(D15:D24)</f>
        <v>13.550552347155866</v>
      </c>
    </row>
    <row r="27" spans="1:5">
      <c r="A27" t="s">
        <v>10</v>
      </c>
      <c r="B27">
        <v>76</v>
      </c>
      <c r="C27">
        <v>32</v>
      </c>
      <c r="D27">
        <f>C27/B27%</f>
        <v>42.10526315789474</v>
      </c>
    </row>
    <row r="28" spans="1:5">
      <c r="A28" t="s">
        <v>11</v>
      </c>
      <c r="B28">
        <v>32</v>
      </c>
      <c r="C28">
        <v>21</v>
      </c>
      <c r="D28">
        <f>C28/B28%</f>
        <v>65.625</v>
      </c>
    </row>
    <row r="29" spans="1:5">
      <c r="A29" t="s">
        <v>14</v>
      </c>
      <c r="B29">
        <v>49</v>
      </c>
      <c r="C29">
        <v>22</v>
      </c>
      <c r="D29">
        <f t="shared" si="0"/>
        <v>44.897959183673471</v>
      </c>
    </row>
    <row r="30" spans="1:5">
      <c r="A30" t="s">
        <v>17</v>
      </c>
      <c r="B30">
        <v>32</v>
      </c>
      <c r="C30">
        <v>24</v>
      </c>
      <c r="D30">
        <f t="shared" si="0"/>
        <v>75</v>
      </c>
    </row>
    <row r="31" spans="1:5">
      <c r="A31" t="s">
        <v>18</v>
      </c>
      <c r="B31">
        <v>48</v>
      </c>
      <c r="C31">
        <v>32</v>
      </c>
      <c r="D31">
        <f t="shared" si="0"/>
        <v>66.666666666666671</v>
      </c>
    </row>
    <row r="32" spans="1:5">
      <c r="A32" t="s">
        <v>19</v>
      </c>
      <c r="B32">
        <v>53</v>
      </c>
      <c r="C32">
        <v>38</v>
      </c>
      <c r="D32">
        <f t="shared" si="0"/>
        <v>71.698113207547166</v>
      </c>
    </row>
    <row r="33" spans="1:5">
      <c r="A33" t="s">
        <v>4</v>
      </c>
      <c r="B33">
        <v>131</v>
      </c>
      <c r="C33">
        <v>113</v>
      </c>
      <c r="D33">
        <f t="shared" ref="D33:D34" si="4">C33/B33%</f>
        <v>86.25954198473282</v>
      </c>
    </row>
    <row r="34" spans="1:5">
      <c r="A34" t="s">
        <v>5</v>
      </c>
      <c r="B34">
        <v>53</v>
      </c>
      <c r="C34">
        <v>38</v>
      </c>
      <c r="D34">
        <f t="shared" si="4"/>
        <v>71.698113207547166</v>
      </c>
    </row>
    <row r="35" spans="1:5">
      <c r="A35" t="s">
        <v>24</v>
      </c>
      <c r="B35">
        <v>52</v>
      </c>
      <c r="C35">
        <v>35</v>
      </c>
      <c r="D35">
        <f t="shared" si="0"/>
        <v>67.307692307692307</v>
      </c>
    </row>
    <row r="36" spans="1:5">
      <c r="A36" t="s">
        <v>28</v>
      </c>
      <c r="B36">
        <v>49</v>
      </c>
      <c r="C36">
        <v>39</v>
      </c>
      <c r="D36">
        <f t="shared" si="0"/>
        <v>79.591836734693885</v>
      </c>
    </row>
    <row r="37" spans="1:5">
      <c r="D37">
        <f>AVERAGE(D27:D36)</f>
        <v>67.085018645044812</v>
      </c>
      <c r="E37">
        <f>STDEV(D27:D36)</f>
        <v>13.935969068438427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伊藤喜介</dc:creator>
  <cp:lastModifiedBy>喜介 伊藤</cp:lastModifiedBy>
  <dcterms:created xsi:type="dcterms:W3CDTF">2015-06-05T18:19:34Z</dcterms:created>
  <dcterms:modified xsi:type="dcterms:W3CDTF">2025-02-03T09:09:02Z</dcterms:modified>
</cp:coreProperties>
</file>