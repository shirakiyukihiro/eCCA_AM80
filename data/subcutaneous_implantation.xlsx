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475821bd911288/デスクトップ/論文用データ/★fig用データエクセル/"/>
    </mc:Choice>
  </mc:AlternateContent>
  <xr:revisionPtr revIDLastSave="239" documentId="13_ncr:1_{32E92FC6-F2E2-43C9-BB6E-7606A6A62F87}" xr6:coauthVersionLast="47" xr6:coauthVersionMax="47" xr10:uidLastSave="{3D51F323-6DAC-4678-B213-75BD11F1782D}"/>
  <bookViews>
    <workbookView xWindow="1260" yWindow="3210" windowWidth="18330" windowHeight="17280" activeTab="3" xr2:uid="{00000000-000D-0000-FFFF-FFFF00000000}"/>
  </bookViews>
  <sheets>
    <sheet name="tumor (♂　8) (3)" sheetId="16" r:id="rId1"/>
    <sheet name="BW  (♂) 計測" sheetId="17" r:id="rId2"/>
    <sheet name="tumor size graph" sheetId="14" r:id="rId3"/>
    <sheet name="BW graph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7" l="1"/>
  <c r="D53" i="17"/>
  <c r="E53" i="17"/>
  <c r="F53" i="17"/>
  <c r="F54" i="17" s="1"/>
  <c r="G53" i="17"/>
  <c r="G54" i="17" s="1"/>
  <c r="H53" i="17"/>
  <c r="I53" i="17"/>
  <c r="J53" i="17"/>
  <c r="K53" i="17"/>
  <c r="K54" i="17" s="1"/>
  <c r="L53" i="17"/>
  <c r="M53" i="17"/>
  <c r="N53" i="17"/>
  <c r="N54" i="17" s="1"/>
  <c r="O53" i="17"/>
  <c r="O54" i="17" s="1"/>
  <c r="P53" i="17"/>
  <c r="Q53" i="17"/>
  <c r="R53" i="17"/>
  <c r="B53" i="17"/>
  <c r="B54" i="17" s="1"/>
  <c r="M54" i="17"/>
  <c r="E54" i="17"/>
  <c r="R54" i="17"/>
  <c r="Q54" i="17"/>
  <c r="P54" i="17"/>
  <c r="L54" i="17"/>
  <c r="J54" i="17"/>
  <c r="I54" i="17"/>
  <c r="H54" i="17"/>
  <c r="D54" i="17"/>
  <c r="C54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B27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B26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D54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D27" i="16"/>
  <c r="R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D26" i="16"/>
  <c r="I51" i="16"/>
  <c r="I23" i="16"/>
  <c r="I25" i="16"/>
  <c r="H25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L52" i="16"/>
  <c r="K52" i="16"/>
  <c r="J52" i="16"/>
  <c r="H52" i="16"/>
  <c r="G52" i="16"/>
  <c r="F52" i="16"/>
  <c r="E52" i="16"/>
  <c r="D52" i="16"/>
  <c r="C52" i="16"/>
  <c r="B52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L51" i="16"/>
  <c r="K51" i="16"/>
  <c r="J51" i="16"/>
  <c r="H51" i="16"/>
  <c r="G51" i="16"/>
  <c r="F51" i="16"/>
  <c r="E51" i="16"/>
  <c r="D51" i="16"/>
  <c r="C51" i="16"/>
  <c r="B51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L50" i="16"/>
  <c r="K50" i="16"/>
  <c r="J50" i="16"/>
  <c r="H50" i="16"/>
  <c r="G50" i="16"/>
  <c r="F50" i="16"/>
  <c r="E50" i="16"/>
  <c r="D50" i="16"/>
  <c r="C50" i="16"/>
  <c r="B50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L25" i="16"/>
  <c r="K25" i="16"/>
  <c r="J25" i="16"/>
  <c r="G25" i="16"/>
  <c r="F25" i="16"/>
  <c r="E25" i="16"/>
  <c r="D25" i="16"/>
  <c r="C25" i="16"/>
  <c r="B25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L24" i="16"/>
  <c r="K24" i="16"/>
  <c r="J24" i="16"/>
  <c r="G24" i="16"/>
  <c r="F24" i="16"/>
  <c r="E24" i="16"/>
  <c r="D24" i="16"/>
  <c r="C24" i="16"/>
  <c r="B24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L23" i="16"/>
  <c r="K23" i="16"/>
  <c r="J23" i="16"/>
  <c r="G23" i="16"/>
  <c r="F23" i="16"/>
  <c r="E23" i="16"/>
  <c r="D23" i="16"/>
  <c r="C23" i="16"/>
  <c r="B23" i="16"/>
  <c r="I50" i="16" l="1"/>
  <c r="I52" i="16"/>
  <c r="I24" i="16"/>
  <c r="H23" i="16"/>
  <c r="H24" i="16"/>
  <c r="M51" i="16"/>
  <c r="M52" i="16"/>
  <c r="M50" i="16"/>
  <c r="M25" i="16"/>
  <c r="M24" i="16"/>
  <c r="M23" i="16"/>
</calcChain>
</file>

<file path=xl/sharedStrings.xml><?xml version="1.0" encoding="utf-8"?>
<sst xmlns="http://schemas.openxmlformats.org/spreadsheetml/2006/main" count="119" uniqueCount="57">
  <si>
    <t>マウスNo</t>
    <phoneticPr fontId="1"/>
  </si>
  <si>
    <t>W1</t>
    <phoneticPr fontId="1"/>
  </si>
  <si>
    <t>W2</t>
    <phoneticPr fontId="1"/>
  </si>
  <si>
    <t>W3</t>
    <phoneticPr fontId="1"/>
  </si>
  <si>
    <t>W4</t>
    <phoneticPr fontId="1"/>
  </si>
  <si>
    <t>W5</t>
    <phoneticPr fontId="1"/>
  </si>
  <si>
    <t>W6</t>
    <phoneticPr fontId="1"/>
  </si>
  <si>
    <t>W7</t>
    <phoneticPr fontId="1"/>
  </si>
  <si>
    <t>W8</t>
    <phoneticPr fontId="1"/>
  </si>
  <si>
    <t>W9</t>
    <phoneticPr fontId="1"/>
  </si>
  <si>
    <t>W10</t>
    <phoneticPr fontId="1"/>
  </si>
  <si>
    <t>K1</t>
    <phoneticPr fontId="1"/>
  </si>
  <si>
    <t>K2</t>
    <phoneticPr fontId="1"/>
  </si>
  <si>
    <t>K3</t>
  </si>
  <si>
    <t>K4</t>
  </si>
  <si>
    <t>K5</t>
  </si>
  <si>
    <t>K6</t>
  </si>
  <si>
    <t>K7</t>
  </si>
  <si>
    <t>K8</t>
  </si>
  <si>
    <t>K9</t>
  </si>
  <si>
    <t>K10</t>
  </si>
  <si>
    <t>Ave</t>
    <phoneticPr fontId="1"/>
  </si>
  <si>
    <t>Max</t>
    <phoneticPr fontId="1"/>
  </si>
  <si>
    <t>min</t>
    <phoneticPr fontId="1"/>
  </si>
  <si>
    <t>-</t>
    <phoneticPr fontId="1"/>
  </si>
  <si>
    <t>W11</t>
  </si>
  <si>
    <t>W12</t>
  </si>
  <si>
    <t>W13</t>
  </si>
  <si>
    <t>W14</t>
  </si>
  <si>
    <t>W15</t>
  </si>
  <si>
    <t>W16</t>
  </si>
  <si>
    <t>K11</t>
  </si>
  <si>
    <t>K12</t>
  </si>
  <si>
    <t>K13</t>
  </si>
  <si>
    <t>K14</t>
  </si>
  <si>
    <t>K15</t>
  </si>
  <si>
    <t>K16</t>
  </si>
  <si>
    <t>W17</t>
  </si>
  <si>
    <t>W18</t>
  </si>
  <si>
    <t>W19</t>
  </si>
  <si>
    <t>W20</t>
  </si>
  <si>
    <t>K17</t>
  </si>
  <si>
    <t>K18</t>
  </si>
  <si>
    <t>K19</t>
  </si>
  <si>
    <t>K20</t>
  </si>
  <si>
    <t>W21</t>
  </si>
  <si>
    <t>K21</t>
  </si>
  <si>
    <t>K22</t>
  </si>
  <si>
    <t>KO</t>
    <phoneticPr fontId="1"/>
  </si>
  <si>
    <t>WT</t>
    <phoneticPr fontId="1"/>
  </si>
  <si>
    <t>SD</t>
    <phoneticPr fontId="1"/>
  </si>
  <si>
    <t>2SD</t>
  </si>
  <si>
    <t>2SD</t>
    <phoneticPr fontId="1"/>
  </si>
  <si>
    <t>SD</t>
    <phoneticPr fontId="1"/>
  </si>
  <si>
    <t>２SD</t>
    <phoneticPr fontId="1"/>
  </si>
  <si>
    <t>SD</t>
    <phoneticPr fontId="1"/>
  </si>
  <si>
    <t>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</si>
</sst>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'tumor size graph'!$A$2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'tumor size graph'!$B$5:$R$5</c:f>
                <c:numCache>
                  <c:formatCode>General</c:formatCode>
                  <c:ptCount val="17"/>
                  <c:pt idx="2">
                    <c:v>25.445785773718477</c:v>
                  </c:pt>
                  <c:pt idx="3">
                    <c:v>40.547047993631367</c:v>
                  </c:pt>
                  <c:pt idx="4">
                    <c:v>30.814651734726613</c:v>
                  </c:pt>
                  <c:pt idx="5">
                    <c:v>21.946205666794491</c:v>
                  </c:pt>
                  <c:pt idx="6">
                    <c:v>21.878285747619934</c:v>
                  </c:pt>
                  <c:pt idx="7">
                    <c:v>32.161567915295116</c:v>
                  </c:pt>
                  <c:pt idx="8">
                    <c:v>47.273510564759633</c:v>
                  </c:pt>
                  <c:pt idx="9">
                    <c:v>60.464816279848257</c:v>
                  </c:pt>
                  <c:pt idx="10">
                    <c:v>70.210995736690322</c:v>
                  </c:pt>
                  <c:pt idx="11">
                    <c:v>77.691663305297936</c:v>
                  </c:pt>
                  <c:pt idx="12">
                    <c:v>107.05503562036191</c:v>
                  </c:pt>
                  <c:pt idx="13">
                    <c:v>131.99835857589724</c:v>
                  </c:pt>
                  <c:pt idx="14">
                    <c:v>159.59325030780317</c:v>
                  </c:pt>
                  <c:pt idx="15">
                    <c:v>207.48118341350812</c:v>
                  </c:pt>
                  <c:pt idx="16">
                    <c:v>229.33103309735776</c:v>
                  </c:pt>
                </c:numCache>
              </c:numRef>
            </c:plus>
            <c:minus>
              <c:numRef>
                <c:f>'tumor size graph'!$B$5:$R$5</c:f>
                <c:numCache>
                  <c:formatCode>General</c:formatCode>
                  <c:ptCount val="17"/>
                  <c:pt idx="2">
                    <c:v>25.445785773718477</c:v>
                  </c:pt>
                  <c:pt idx="3">
                    <c:v>40.547047993631367</c:v>
                  </c:pt>
                  <c:pt idx="4">
                    <c:v>30.814651734726613</c:v>
                  </c:pt>
                  <c:pt idx="5">
                    <c:v>21.946205666794491</c:v>
                  </c:pt>
                  <c:pt idx="6">
                    <c:v>21.878285747619934</c:v>
                  </c:pt>
                  <c:pt idx="7">
                    <c:v>32.161567915295116</c:v>
                  </c:pt>
                  <c:pt idx="8">
                    <c:v>47.273510564759633</c:v>
                  </c:pt>
                  <c:pt idx="9">
                    <c:v>60.464816279848257</c:v>
                  </c:pt>
                  <c:pt idx="10">
                    <c:v>70.210995736690322</c:v>
                  </c:pt>
                  <c:pt idx="11">
                    <c:v>77.691663305297936</c:v>
                  </c:pt>
                  <c:pt idx="12">
                    <c:v>107.05503562036191</c:v>
                  </c:pt>
                  <c:pt idx="13">
                    <c:v>131.99835857589724</c:v>
                  </c:pt>
                  <c:pt idx="14">
                    <c:v>159.59325030780317</c:v>
                  </c:pt>
                  <c:pt idx="15">
                    <c:v>207.48118341350812</c:v>
                  </c:pt>
                  <c:pt idx="16">
                    <c:v>229.33103309735776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numRef>
              <c:f>'tumor size graph'!$B$1:$R$1</c:f>
              <c:numCache>
                <c:formatCode>General</c:formatCode>
                <c:ptCount val="1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</c:numCache>
            </c:numRef>
          </c:cat>
          <c:val>
            <c:numRef>
              <c:f>'tumor size graph'!$B$2:$R$2</c:f>
              <c:numCache>
                <c:formatCode>General</c:formatCode>
                <c:ptCount val="17"/>
                <c:pt idx="0">
                  <c:v>0</c:v>
                </c:pt>
                <c:pt idx="2">
                  <c:v>34.171987348632818</c:v>
                </c:pt>
                <c:pt idx="3">
                  <c:v>47.759973792178194</c:v>
                </c:pt>
                <c:pt idx="4">
                  <c:v>57.5561900390625</c:v>
                </c:pt>
                <c:pt idx="5">
                  <c:v>62.409007140345963</c:v>
                </c:pt>
                <c:pt idx="6">
                  <c:v>69.744587675537119</c:v>
                </c:pt>
                <c:pt idx="7">
                  <c:v>82.379574482299802</c:v>
                </c:pt>
                <c:pt idx="8">
                  <c:v>105.85200625620118</c:v>
                </c:pt>
                <c:pt idx="9">
                  <c:v>137.33188065722658</c:v>
                </c:pt>
                <c:pt idx="10">
                  <c:v>175.24705168906252</c:v>
                </c:pt>
                <c:pt idx="11">
                  <c:v>221.88845797357175</c:v>
                </c:pt>
                <c:pt idx="12">
                  <c:v>260.63177501227682</c:v>
                </c:pt>
                <c:pt idx="13">
                  <c:v>294.64052960379456</c:v>
                </c:pt>
                <c:pt idx="14">
                  <c:v>369.56202658844876</c:v>
                </c:pt>
                <c:pt idx="15">
                  <c:v>421.74170835523614</c:v>
                </c:pt>
                <c:pt idx="16">
                  <c:v>519.03591034082035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D-440C-B029-6E187127D3A4}"/>
            </c:ext>
          </c:extLst>
        </c:ser>
        <c:ser>
          <c:idx val="1"/>
          <c:order val="1"/>
          <c:tx>
            <c:strRef>
              <c:f>'tumor size graph'!$A$4</c:f>
              <c:strCache>
                <c:ptCount val="1"/>
                <c:pt idx="0">
                  <c:v>KO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'tumor size graph'!$B$5:$R$5</c:f>
                <c:numCache>
                  <c:formatCode>General</c:formatCode>
                  <c:ptCount val="17"/>
                  <c:pt idx="2">
                    <c:v>25.445785773718477</c:v>
                  </c:pt>
                  <c:pt idx="3">
                    <c:v>40.547047993631367</c:v>
                  </c:pt>
                  <c:pt idx="4">
                    <c:v>30.814651734726613</c:v>
                  </c:pt>
                  <c:pt idx="5">
                    <c:v>21.946205666794491</c:v>
                  </c:pt>
                  <c:pt idx="6">
                    <c:v>21.878285747619934</c:v>
                  </c:pt>
                  <c:pt idx="7">
                    <c:v>32.161567915295116</c:v>
                  </c:pt>
                  <c:pt idx="8">
                    <c:v>47.273510564759633</c:v>
                  </c:pt>
                  <c:pt idx="9">
                    <c:v>60.464816279848257</c:v>
                  </c:pt>
                  <c:pt idx="10">
                    <c:v>70.210995736690322</c:v>
                  </c:pt>
                  <c:pt idx="11">
                    <c:v>77.691663305297936</c:v>
                  </c:pt>
                  <c:pt idx="12">
                    <c:v>107.05503562036191</c:v>
                  </c:pt>
                  <c:pt idx="13">
                    <c:v>131.99835857589724</c:v>
                  </c:pt>
                  <c:pt idx="14">
                    <c:v>159.59325030780317</c:v>
                  </c:pt>
                  <c:pt idx="15">
                    <c:v>207.48118341350812</c:v>
                  </c:pt>
                  <c:pt idx="16">
                    <c:v>229.33103309735776</c:v>
                  </c:pt>
                </c:numCache>
              </c:numRef>
            </c:plus>
            <c:minus>
              <c:numRef>
                <c:f>'tumor size graph'!$B$5:$R$5</c:f>
                <c:numCache>
                  <c:formatCode>General</c:formatCode>
                  <c:ptCount val="17"/>
                  <c:pt idx="2">
                    <c:v>25.445785773718477</c:v>
                  </c:pt>
                  <c:pt idx="3">
                    <c:v>40.547047993631367</c:v>
                  </c:pt>
                  <c:pt idx="4">
                    <c:v>30.814651734726613</c:v>
                  </c:pt>
                  <c:pt idx="5">
                    <c:v>21.946205666794491</c:v>
                  </c:pt>
                  <c:pt idx="6">
                    <c:v>21.878285747619934</c:v>
                  </c:pt>
                  <c:pt idx="7">
                    <c:v>32.161567915295116</c:v>
                  </c:pt>
                  <c:pt idx="8">
                    <c:v>47.273510564759633</c:v>
                  </c:pt>
                  <c:pt idx="9">
                    <c:v>60.464816279848257</c:v>
                  </c:pt>
                  <c:pt idx="10">
                    <c:v>70.210995736690322</c:v>
                  </c:pt>
                  <c:pt idx="11">
                    <c:v>77.691663305297936</c:v>
                  </c:pt>
                  <c:pt idx="12">
                    <c:v>107.05503562036191</c:v>
                  </c:pt>
                  <c:pt idx="13">
                    <c:v>131.99835857589724</c:v>
                  </c:pt>
                  <c:pt idx="14">
                    <c:v>159.59325030780317</c:v>
                  </c:pt>
                  <c:pt idx="15">
                    <c:v>207.48118341350812</c:v>
                  </c:pt>
                  <c:pt idx="16">
                    <c:v>229.33103309735776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numRef>
              <c:f>'tumor size graph'!$B$1:$R$1</c:f>
              <c:numCache>
                <c:formatCode>General</c:formatCode>
                <c:ptCount val="1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</c:numCache>
            </c:numRef>
          </c:cat>
          <c:val>
            <c:numRef>
              <c:f>'tumor size graph'!$B$4:$R$4</c:f>
              <c:numCache>
                <c:formatCode>General</c:formatCode>
                <c:ptCount val="17"/>
                <c:pt idx="0">
                  <c:v>0</c:v>
                </c:pt>
                <c:pt idx="2">
                  <c:v>44.973020823996798</c:v>
                </c:pt>
                <c:pt idx="3">
                  <c:v>60.745950261629986</c:v>
                </c:pt>
                <c:pt idx="4">
                  <c:v>67.963458092018811</c:v>
                </c:pt>
                <c:pt idx="5">
                  <c:v>73.561639944646672</c:v>
                </c:pt>
                <c:pt idx="6">
                  <c:v>87.032982900390635</c:v>
                </c:pt>
                <c:pt idx="7">
                  <c:v>105.38706559407549</c:v>
                </c:pt>
                <c:pt idx="8">
                  <c:v>122.47231166845704</c:v>
                </c:pt>
                <c:pt idx="9">
                  <c:v>154.3299305350231</c:v>
                </c:pt>
                <c:pt idx="10">
                  <c:v>197.29329000181997</c:v>
                </c:pt>
                <c:pt idx="11">
                  <c:v>244.69147944428173</c:v>
                </c:pt>
                <c:pt idx="12">
                  <c:v>324.71464190616132</c:v>
                </c:pt>
                <c:pt idx="13">
                  <c:v>394.32602715611671</c:v>
                </c:pt>
                <c:pt idx="14">
                  <c:v>473.57200337304675</c:v>
                </c:pt>
                <c:pt idx="15">
                  <c:v>594.11752576655726</c:v>
                </c:pt>
                <c:pt idx="16">
                  <c:v>678.01947868860987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D-440C-B029-6E187127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684304"/>
        <c:axId val="1460694288"/>
      </c:lineChart>
      <c:catAx>
        <c:axId val="14606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0694288"/>
        <c:crosses val="autoZero"/>
        <c:auto val="1"/>
        <c:lblAlgn val="ctr"/>
        <c:lblOffset val="100"/>
        <c:noMultiLvlLbl val="0"/>
      </c:catAx>
      <c:valAx>
        <c:axId val="1460694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06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599522951197365"/>
          <c:y val="0.11840383216910967"/>
          <c:w val="0.14510631954138262"/>
          <c:h val="0.24324361573132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'BW graph'!$A$2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'BW graph'!$B$5:$R$5</c:f>
                <c:numCache>
                  <c:formatCode>General</c:formatCode>
                  <c:ptCount val="17"/>
                  <c:pt idx="0">
                    <c:v>1.6332847417456173</c:v>
                  </c:pt>
                  <c:pt idx="1">
                    <c:v>1.5804336628819833</c:v>
                  </c:pt>
                  <c:pt idx="2">
                    <c:v>1.573756638337058</c:v>
                  </c:pt>
                  <c:pt idx="3">
                    <c:v>1.5086188173063255</c:v>
                  </c:pt>
                  <c:pt idx="4">
                    <c:v>1.5912368246224795</c:v>
                  </c:pt>
                  <c:pt idx="5">
                    <c:v>1.5977324299609486</c:v>
                  </c:pt>
                  <c:pt idx="6">
                    <c:v>1.5824866726971409</c:v>
                  </c:pt>
                  <c:pt idx="7">
                    <c:v>1.9417491110824818</c:v>
                  </c:pt>
                  <c:pt idx="8">
                    <c:v>1.6128005273825845</c:v>
                  </c:pt>
                  <c:pt idx="9">
                    <c:v>1.5397545764972276</c:v>
                  </c:pt>
                  <c:pt idx="10">
                    <c:v>1.6108667775119627</c:v>
                  </c:pt>
                  <c:pt idx="11">
                    <c:v>1.6735787405634068</c:v>
                  </c:pt>
                  <c:pt idx="12">
                    <c:v>1.673171289647944</c:v>
                  </c:pt>
                  <c:pt idx="13">
                    <c:v>1.7146428199482247</c:v>
                  </c:pt>
                  <c:pt idx="14">
                    <c:v>1.7237581011679077</c:v>
                  </c:pt>
                  <c:pt idx="15">
                    <c:v>1.6834308402602693</c:v>
                  </c:pt>
                  <c:pt idx="16">
                    <c:v>1.8303419120895188</c:v>
                  </c:pt>
                </c:numCache>
              </c:numRef>
            </c:plus>
            <c:minus>
              <c:numRef>
                <c:f>'BW graph'!$B$5:$R$5</c:f>
                <c:numCache>
                  <c:formatCode>General</c:formatCode>
                  <c:ptCount val="17"/>
                  <c:pt idx="0">
                    <c:v>1.6332847417456173</c:v>
                  </c:pt>
                  <c:pt idx="1">
                    <c:v>1.5804336628819833</c:v>
                  </c:pt>
                  <c:pt idx="2">
                    <c:v>1.573756638337058</c:v>
                  </c:pt>
                  <c:pt idx="3">
                    <c:v>1.5086188173063255</c:v>
                  </c:pt>
                  <c:pt idx="4">
                    <c:v>1.5912368246224795</c:v>
                  </c:pt>
                  <c:pt idx="5">
                    <c:v>1.5977324299609486</c:v>
                  </c:pt>
                  <c:pt idx="6">
                    <c:v>1.5824866726971409</c:v>
                  </c:pt>
                  <c:pt idx="7">
                    <c:v>1.9417491110824818</c:v>
                  </c:pt>
                  <c:pt idx="8">
                    <c:v>1.6128005273825845</c:v>
                  </c:pt>
                  <c:pt idx="9">
                    <c:v>1.5397545764972276</c:v>
                  </c:pt>
                  <c:pt idx="10">
                    <c:v>1.6108667775119627</c:v>
                  </c:pt>
                  <c:pt idx="11">
                    <c:v>1.6735787405634068</c:v>
                  </c:pt>
                  <c:pt idx="12">
                    <c:v>1.673171289647944</c:v>
                  </c:pt>
                  <c:pt idx="13">
                    <c:v>1.7146428199482247</c:v>
                  </c:pt>
                  <c:pt idx="14">
                    <c:v>1.7237581011679077</c:v>
                  </c:pt>
                  <c:pt idx="15">
                    <c:v>1.6834308402602693</c:v>
                  </c:pt>
                  <c:pt idx="16">
                    <c:v>1.8303419120895188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numRef>
              <c:f>'BW graph'!$B$1:$R$1</c:f>
              <c:numCache>
                <c:formatCode>General</c:formatCode>
                <c:ptCount val="1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</c:numCache>
            </c:numRef>
          </c:cat>
          <c:val>
            <c:numRef>
              <c:f>'BW graph'!$B$2:$R$2</c:f>
              <c:numCache>
                <c:formatCode>General</c:formatCode>
                <c:ptCount val="17"/>
                <c:pt idx="0">
                  <c:v>23.090476190476188</c:v>
                </c:pt>
                <c:pt idx="1">
                  <c:v>23.638095238095236</c:v>
                </c:pt>
                <c:pt idx="2">
                  <c:v>24.06666666666667</c:v>
                </c:pt>
                <c:pt idx="3">
                  <c:v>24.466666666666665</c:v>
                </c:pt>
                <c:pt idx="4">
                  <c:v>24.93333333333333</c:v>
                </c:pt>
                <c:pt idx="5">
                  <c:v>25.238095238095234</c:v>
                </c:pt>
                <c:pt idx="6">
                  <c:v>25.709523809523812</c:v>
                </c:pt>
                <c:pt idx="7">
                  <c:v>26.195238095238096</c:v>
                </c:pt>
                <c:pt idx="8">
                  <c:v>26.480952380952381</c:v>
                </c:pt>
                <c:pt idx="9">
                  <c:v>27.114285714285717</c:v>
                </c:pt>
                <c:pt idx="10">
                  <c:v>27.457142857142852</c:v>
                </c:pt>
                <c:pt idx="11">
                  <c:v>27.647619047619052</c:v>
                </c:pt>
                <c:pt idx="12">
                  <c:v>28.023809523809526</c:v>
                </c:pt>
                <c:pt idx="13">
                  <c:v>28.385714285714286</c:v>
                </c:pt>
                <c:pt idx="14">
                  <c:v>28.599999999999994</c:v>
                </c:pt>
                <c:pt idx="15">
                  <c:v>28.809523809523814</c:v>
                </c:pt>
                <c:pt idx="16">
                  <c:v>29.014285714285705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3-40C8-A771-89435B46A382}"/>
            </c:ext>
          </c:extLst>
        </c:ser>
        <c:ser>
          <c:idx val="1"/>
          <c:order val="1"/>
          <c:tx>
            <c:strRef>
              <c:f>'BW graph'!$A$4</c:f>
              <c:strCache>
                <c:ptCount val="1"/>
                <c:pt idx="0">
                  <c:v>KO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'BW graph'!$B$5:$R$5</c:f>
                <c:numCache>
                  <c:formatCode>General</c:formatCode>
                  <c:ptCount val="17"/>
                  <c:pt idx="0">
                    <c:v>1.6332847417456173</c:v>
                  </c:pt>
                  <c:pt idx="1">
                    <c:v>1.5804336628819833</c:v>
                  </c:pt>
                  <c:pt idx="2">
                    <c:v>1.573756638337058</c:v>
                  </c:pt>
                  <c:pt idx="3">
                    <c:v>1.5086188173063255</c:v>
                  </c:pt>
                  <c:pt idx="4">
                    <c:v>1.5912368246224795</c:v>
                  </c:pt>
                  <c:pt idx="5">
                    <c:v>1.5977324299609486</c:v>
                  </c:pt>
                  <c:pt idx="6">
                    <c:v>1.5824866726971409</c:v>
                  </c:pt>
                  <c:pt idx="7">
                    <c:v>1.9417491110824818</c:v>
                  </c:pt>
                  <c:pt idx="8">
                    <c:v>1.6128005273825845</c:v>
                  </c:pt>
                  <c:pt idx="9">
                    <c:v>1.5397545764972276</c:v>
                  </c:pt>
                  <c:pt idx="10">
                    <c:v>1.6108667775119627</c:v>
                  </c:pt>
                  <c:pt idx="11">
                    <c:v>1.6735787405634068</c:v>
                  </c:pt>
                  <c:pt idx="12">
                    <c:v>1.673171289647944</c:v>
                  </c:pt>
                  <c:pt idx="13">
                    <c:v>1.7146428199482247</c:v>
                  </c:pt>
                  <c:pt idx="14">
                    <c:v>1.7237581011679077</c:v>
                  </c:pt>
                  <c:pt idx="15">
                    <c:v>1.6834308402602693</c:v>
                  </c:pt>
                  <c:pt idx="16">
                    <c:v>1.8303419120895188</c:v>
                  </c:pt>
                </c:numCache>
              </c:numRef>
            </c:plus>
            <c:minus>
              <c:numRef>
                <c:f>'BW graph'!$B$5:$R$5</c:f>
                <c:numCache>
                  <c:formatCode>General</c:formatCode>
                  <c:ptCount val="17"/>
                  <c:pt idx="0">
                    <c:v>1.6332847417456173</c:v>
                  </c:pt>
                  <c:pt idx="1">
                    <c:v>1.5804336628819833</c:v>
                  </c:pt>
                  <c:pt idx="2">
                    <c:v>1.573756638337058</c:v>
                  </c:pt>
                  <c:pt idx="3">
                    <c:v>1.5086188173063255</c:v>
                  </c:pt>
                  <c:pt idx="4">
                    <c:v>1.5912368246224795</c:v>
                  </c:pt>
                  <c:pt idx="5">
                    <c:v>1.5977324299609486</c:v>
                  </c:pt>
                  <c:pt idx="6">
                    <c:v>1.5824866726971409</c:v>
                  </c:pt>
                  <c:pt idx="7">
                    <c:v>1.9417491110824818</c:v>
                  </c:pt>
                  <c:pt idx="8">
                    <c:v>1.6128005273825845</c:v>
                  </c:pt>
                  <c:pt idx="9">
                    <c:v>1.5397545764972276</c:v>
                  </c:pt>
                  <c:pt idx="10">
                    <c:v>1.6108667775119627</c:v>
                  </c:pt>
                  <c:pt idx="11">
                    <c:v>1.6735787405634068</c:v>
                  </c:pt>
                  <c:pt idx="12">
                    <c:v>1.673171289647944</c:v>
                  </c:pt>
                  <c:pt idx="13">
                    <c:v>1.7146428199482247</c:v>
                  </c:pt>
                  <c:pt idx="14">
                    <c:v>1.7237581011679077</c:v>
                  </c:pt>
                  <c:pt idx="15">
                    <c:v>1.6834308402602693</c:v>
                  </c:pt>
                  <c:pt idx="16">
                    <c:v>1.8303419120895188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numRef>
              <c:f>'BW graph'!$B$1:$R$1</c:f>
              <c:numCache>
                <c:formatCode>General</c:formatCode>
                <c:ptCount val="1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</c:numCache>
            </c:numRef>
          </c:cat>
          <c:val>
            <c:numRef>
              <c:f>'BW graph'!$B$4:$R$4</c:f>
              <c:numCache>
                <c:formatCode>General</c:formatCode>
                <c:ptCount val="17"/>
                <c:pt idx="0">
                  <c:v>22.900000000000002</c:v>
                </c:pt>
                <c:pt idx="1">
                  <c:v>23.540909090909096</c:v>
                </c:pt>
                <c:pt idx="2">
                  <c:v>23.936363636363634</c:v>
                </c:pt>
                <c:pt idx="3">
                  <c:v>24.45454545454546</c:v>
                </c:pt>
                <c:pt idx="4">
                  <c:v>24.881818181818176</c:v>
                </c:pt>
                <c:pt idx="5">
                  <c:v>25.231818181818184</c:v>
                </c:pt>
                <c:pt idx="6">
                  <c:v>25.695454545454542</c:v>
                </c:pt>
                <c:pt idx="7">
                  <c:v>25.690909090909091</c:v>
                </c:pt>
                <c:pt idx="8">
                  <c:v>26.372727272727271</c:v>
                </c:pt>
                <c:pt idx="9">
                  <c:v>26.831818181818186</c:v>
                </c:pt>
                <c:pt idx="10">
                  <c:v>27.218181818181815</c:v>
                </c:pt>
                <c:pt idx="11">
                  <c:v>27.209090909090911</c:v>
                </c:pt>
                <c:pt idx="12">
                  <c:v>27.604545454545459</c:v>
                </c:pt>
                <c:pt idx="13">
                  <c:v>28.000000000000004</c:v>
                </c:pt>
                <c:pt idx="14">
                  <c:v>28.109090909090909</c:v>
                </c:pt>
                <c:pt idx="15">
                  <c:v>28.318181818181817</c:v>
                </c:pt>
                <c:pt idx="16">
                  <c:v>28.65909090909091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3-40C8-A771-89435B46A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684304"/>
        <c:axId val="1460694288"/>
      </c:lineChart>
      <c:catAx>
        <c:axId val="14606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0694288"/>
        <c:crosses val="autoZero"/>
        <c:auto val="1"/>
        <c:lblAlgn val="ctr"/>
        <c:lblOffset val="100"/>
        <c:noMultiLvlLbl val="0"/>
      </c:catAx>
      <c:valAx>
        <c:axId val="146069428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06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599522951197365"/>
          <c:y val="0.11840383216910967"/>
          <c:w val="0.14510631954138262"/>
          <c:h val="0.24324361573132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276224</xdr:colOff>
      <xdr:row>10</xdr:row>
      <xdr:rowOff>157161</xdr:rowOff>
    </xdr:from>
    <xdr:to>
      <xdr:col>11</xdr:col>
      <xdr:colOff>323849</xdr:colOff>
      <xdr:row>26</xdr:row>
      <xdr:rowOff>47624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504825</xdr:colOff>
          <xdr:row>14</xdr:row>
          <xdr:rowOff>47625</xdr:rowOff>
        </xdr:from>
        <xdr:to>
          <xdr:col>18</xdr:col>
          <xdr:colOff>371475</xdr:colOff>
          <xdr:row>26</xdr:row>
          <xdr:rowOff>161925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6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523874</xdr:colOff>
      <xdr:row>9</xdr:row>
      <xdr:rowOff>80961</xdr:rowOff>
    </xdr:from>
    <xdr:to>
      <xdr:col>10</xdr:col>
      <xdr:colOff>571499</xdr:colOff>
      <xdr:row>24</xdr:row>
      <xdr:rowOff>209549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A35A-DDF1-4813-BA94-AB6E36ADCF4E}">
  <dimension ref="A1:AB54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C29" sqref="C29"/>
    </sheetView>
  </sheetViews>
  <sheetFormatPr defaultRowHeight="18.75"/>
  <cols>
    <col min="1" max="16384" width="9" style="8"/>
  </cols>
  <sheetData>
    <row r="1" spans="1:28">
      <c r="A1" s="8" t="s">
        <v>0</v>
      </c>
      <c r="B1" s="8">
        <v>0</v>
      </c>
      <c r="C1" s="8">
        <v>0.5</v>
      </c>
      <c r="D1" s="8">
        <v>1</v>
      </c>
      <c r="E1" s="8">
        <v>1.5</v>
      </c>
      <c r="F1" s="8">
        <v>2</v>
      </c>
      <c r="G1" s="8">
        <v>2.5</v>
      </c>
      <c r="H1" s="8">
        <v>3</v>
      </c>
      <c r="I1" s="8">
        <v>3.5</v>
      </c>
      <c r="J1" s="8">
        <v>4</v>
      </c>
      <c r="K1" s="8">
        <v>4.5</v>
      </c>
      <c r="L1" s="8">
        <v>5</v>
      </c>
      <c r="M1" s="8">
        <v>5.5</v>
      </c>
      <c r="N1" s="8">
        <v>6</v>
      </c>
      <c r="O1" s="8">
        <v>6.5</v>
      </c>
      <c r="P1" s="8">
        <v>7</v>
      </c>
      <c r="Q1" s="8">
        <v>7.5</v>
      </c>
      <c r="R1" s="8">
        <v>8</v>
      </c>
      <c r="S1" s="8">
        <v>8.5</v>
      </c>
      <c r="T1" s="8">
        <v>9</v>
      </c>
      <c r="U1" s="8">
        <v>9.5</v>
      </c>
      <c r="V1" s="8">
        <v>10</v>
      </c>
      <c r="W1" s="8">
        <v>10.5</v>
      </c>
      <c r="X1" s="8">
        <v>11</v>
      </c>
      <c r="Y1" s="8">
        <v>11.5</v>
      </c>
      <c r="Z1" s="8">
        <v>12</v>
      </c>
      <c r="AA1" s="8">
        <v>12.5</v>
      </c>
      <c r="AB1" s="8">
        <v>13</v>
      </c>
    </row>
    <row r="2" spans="1:28">
      <c r="A2" s="8" t="s">
        <v>1</v>
      </c>
      <c r="D2" s="8" t="s">
        <v>24</v>
      </c>
      <c r="E2" s="8">
        <v>30.879420999999997</v>
      </c>
      <c r="F2" s="8">
        <v>58.908169160156248</v>
      </c>
      <c r="G2" s="8">
        <v>61.9701707265625</v>
      </c>
      <c r="H2" s="8">
        <v>63.518947807617181</v>
      </c>
      <c r="I2" s="8">
        <v>61.416899999999998</v>
      </c>
      <c r="J2" s="8">
        <v>98.385406000000017</v>
      </c>
      <c r="K2" s="8">
        <v>156.56284000000002</v>
      </c>
      <c r="L2" s="8">
        <v>135.52363850976562</v>
      </c>
      <c r="M2" s="8">
        <v>171.567003515625</v>
      </c>
      <c r="N2" s="8">
        <v>247.30758740234376</v>
      </c>
      <c r="O2" s="8">
        <v>264.40620885253907</v>
      </c>
      <c r="P2" s="8">
        <v>349.5885180732422</v>
      </c>
      <c r="Q2" s="8">
        <v>365.98500610351562</v>
      </c>
      <c r="R2" s="8">
        <v>460.99932362206999</v>
      </c>
    </row>
    <row r="3" spans="1:28">
      <c r="A3" s="8" t="s">
        <v>2</v>
      </c>
      <c r="D3" s="8" t="s">
        <v>24</v>
      </c>
      <c r="E3" s="8">
        <v>63.366036987304689</v>
      </c>
      <c r="F3" s="8">
        <v>63.856346617187498</v>
      </c>
      <c r="G3" s="8">
        <v>32.688391113281249</v>
      </c>
      <c r="H3" s="8">
        <v>46.969325256347659</v>
      </c>
      <c r="I3" s="8">
        <v>61.25025939941407</v>
      </c>
      <c r="J3" s="8">
        <v>78.274162949707033</v>
      </c>
      <c r="K3" s="8">
        <v>95.29806649999999</v>
      </c>
      <c r="L3" s="8">
        <v>105.6346875</v>
      </c>
      <c r="M3" s="8">
        <v>142.11818702343751</v>
      </c>
      <c r="N3" s="8">
        <v>178.60168654687502</v>
      </c>
      <c r="O3" s="8">
        <v>192.723268625</v>
      </c>
      <c r="P3" s="8">
        <v>290.23514841308594</v>
      </c>
      <c r="Q3" s="8">
        <v>349.33208524999998</v>
      </c>
      <c r="R3" s="8">
        <v>478.3264829687501</v>
      </c>
    </row>
    <row r="4" spans="1:28">
      <c r="A4" s="8" t="s">
        <v>3</v>
      </c>
      <c r="D4" s="8">
        <v>28.308021472656247</v>
      </c>
      <c r="E4" s="8">
        <v>44.004942210937507</v>
      </c>
      <c r="F4" s="8">
        <v>53.38749275</v>
      </c>
      <c r="G4" s="8">
        <v>37.278817318359366</v>
      </c>
      <c r="H4" s="8">
        <v>54.625232439453136</v>
      </c>
      <c r="I4" s="8">
        <v>59.875776373046882</v>
      </c>
      <c r="J4" s="8">
        <v>61.25025939941407</v>
      </c>
      <c r="K4" s="8">
        <v>85.474285875000007</v>
      </c>
      <c r="L4" s="8">
        <v>105.50990469335936</v>
      </c>
      <c r="M4" s="8">
        <v>128.07633006152344</v>
      </c>
      <c r="N4" s="8">
        <v>149.57739578906254</v>
      </c>
      <c r="O4" s="8">
        <v>224.09290070214843</v>
      </c>
      <c r="P4" s="8">
        <v>311.68675061718744</v>
      </c>
      <c r="Q4" s="8">
        <v>385.79187011816418</v>
      </c>
      <c r="R4" s="8">
        <v>382.19384988281246</v>
      </c>
    </row>
    <row r="5" spans="1:28">
      <c r="A5" s="8" t="s">
        <v>4</v>
      </c>
      <c r="D5" s="8">
        <v>42.12167615136719</v>
      </c>
      <c r="E5" s="8">
        <v>42.194688937499997</v>
      </c>
      <c r="F5" s="8">
        <v>43.614896292968744</v>
      </c>
      <c r="G5" s="8">
        <v>46.884019789062506</v>
      </c>
      <c r="H5" s="8">
        <v>60.726734359374987</v>
      </c>
      <c r="I5" s="8">
        <v>63.726264843750009</v>
      </c>
      <c r="J5" s="8">
        <v>83.335742724609375</v>
      </c>
      <c r="K5" s="8">
        <v>102.74814726953126</v>
      </c>
      <c r="L5" s="8">
        <v>169.15690957812498</v>
      </c>
      <c r="M5" s="8">
        <v>200.337932</v>
      </c>
      <c r="N5" s="8">
        <v>280.17200801953129</v>
      </c>
      <c r="O5" s="8">
        <v>287.79656399999999</v>
      </c>
      <c r="P5" s="8">
        <v>359.97631175390626</v>
      </c>
      <c r="Q5" s="8">
        <v>435.03017548828132</v>
      </c>
      <c r="R5" s="8">
        <v>482.05185068359373</v>
      </c>
    </row>
    <row r="6" spans="1:28">
      <c r="A6" s="8" t="s">
        <v>5</v>
      </c>
      <c r="D6" s="8">
        <v>29.354400000000002</v>
      </c>
      <c r="E6" s="8">
        <v>44.816706000000003</v>
      </c>
      <c r="F6" s="8">
        <v>47.1534835</v>
      </c>
      <c r="G6" s="8">
        <v>51.013710000000003</v>
      </c>
      <c r="H6" s="8">
        <v>55.000273999999997</v>
      </c>
      <c r="I6" s="8">
        <v>57.728988749999999</v>
      </c>
      <c r="J6" s="8">
        <v>60.457703500000001</v>
      </c>
      <c r="K6" s="8">
        <v>66.297274999999999</v>
      </c>
      <c r="L6" s="8">
        <v>80.607312000000007</v>
      </c>
      <c r="M6" s="8">
        <v>116.14464000000001</v>
      </c>
      <c r="N6" s="8">
        <v>114.023624</v>
      </c>
      <c r="O6" s="8">
        <v>139.75451100000001</v>
      </c>
      <c r="P6" s="8">
        <v>198.12831</v>
      </c>
      <c r="Q6" s="8">
        <v>247.9566485</v>
      </c>
      <c r="R6" s="8">
        <v>275.90754100000004</v>
      </c>
    </row>
    <row r="7" spans="1:28">
      <c r="A7" s="8" t="s">
        <v>6</v>
      </c>
      <c r="D7" s="8">
        <v>46.376064</v>
      </c>
      <c r="E7" s="8">
        <v>55.136136000000008</v>
      </c>
      <c r="F7" s="8">
        <v>134.18798849999999</v>
      </c>
      <c r="G7" s="8">
        <v>157.04943750000001</v>
      </c>
      <c r="H7" s="8">
        <v>171.567003515625</v>
      </c>
      <c r="I7" s="8">
        <v>185.8904330078125</v>
      </c>
      <c r="J7" s="8">
        <v>200.2138625</v>
      </c>
      <c r="K7" s="8">
        <v>286.61910749999998</v>
      </c>
      <c r="L7" s="8">
        <v>418.63376250000005</v>
      </c>
      <c r="M7" s="8">
        <v>520.59762449999994</v>
      </c>
      <c r="N7" s="8">
        <v>497.31165000000004</v>
      </c>
      <c r="O7" s="8">
        <v>499.84768400000002</v>
      </c>
      <c r="P7" s="8">
        <v>650.64960000000008</v>
      </c>
      <c r="Q7" s="8">
        <v>742.45694249999997</v>
      </c>
      <c r="R7" s="8">
        <v>865.87005199999999</v>
      </c>
    </row>
    <row r="8" spans="1:28">
      <c r="A8" s="8" t="s">
        <v>7</v>
      </c>
      <c r="D8" s="8">
        <v>60.007990500000005</v>
      </c>
      <c r="E8" s="8">
        <v>73.459165999999996</v>
      </c>
      <c r="F8" s="8">
        <v>60.434887500000002</v>
      </c>
      <c r="G8" s="8">
        <v>62.003987500000001</v>
      </c>
      <c r="H8" s="8">
        <v>70.697940499999987</v>
      </c>
      <c r="I8" s="8">
        <v>84.072767499999998</v>
      </c>
      <c r="J8" s="8">
        <v>97.447594500000008</v>
      </c>
      <c r="K8" s="8">
        <v>105.607872</v>
      </c>
      <c r="L8" s="8">
        <v>122.836974</v>
      </c>
      <c r="M8" s="8">
        <v>158.76441600000001</v>
      </c>
      <c r="N8" s="8">
        <v>180.88312500000001</v>
      </c>
      <c r="O8" s="8">
        <v>207.8129625</v>
      </c>
      <c r="P8" s="8">
        <v>254.19404799999998</v>
      </c>
      <c r="Q8" s="8">
        <v>291.73466250000001</v>
      </c>
      <c r="R8" s="8">
        <v>366.64704</v>
      </c>
    </row>
    <row r="9" spans="1:28">
      <c r="A9" s="8" t="s">
        <v>8</v>
      </c>
      <c r="D9" s="8">
        <v>33.131436000000008</v>
      </c>
      <c r="E9" s="8">
        <v>46.472096000000001</v>
      </c>
      <c r="F9" s="8">
        <v>55.000273999999997</v>
      </c>
      <c r="G9" s="8">
        <v>73.258965000000003</v>
      </c>
      <c r="H9" s="8">
        <v>92.325311999999997</v>
      </c>
      <c r="I9" s="8">
        <v>122.41169500000001</v>
      </c>
      <c r="J9" s="8">
        <v>152.49807800000002</v>
      </c>
      <c r="K9" s="8">
        <v>147.70856549999999</v>
      </c>
      <c r="L9" s="8">
        <v>204.73600499999998</v>
      </c>
      <c r="M9" s="8">
        <v>284.29516799999999</v>
      </c>
      <c r="N9" s="8">
        <v>288.69181850000001</v>
      </c>
      <c r="O9" s="8">
        <v>309.36268799999999</v>
      </c>
      <c r="P9" s="8">
        <v>371.38505800000001</v>
      </c>
      <c r="Q9" s="8">
        <v>449.97359999999998</v>
      </c>
      <c r="R9" s="8">
        <v>578.45531249999999</v>
      </c>
    </row>
    <row r="10" spans="1:28">
      <c r="A10" s="8" t="s">
        <v>9</v>
      </c>
      <c r="D10" s="8">
        <v>28.055296999999999</v>
      </c>
      <c r="E10" s="8">
        <v>49.175424</v>
      </c>
      <c r="F10" s="8">
        <v>49.965818500000005</v>
      </c>
      <c r="G10" s="8">
        <v>68.053719999999998</v>
      </c>
      <c r="H10" s="8">
        <v>76.451355500000005</v>
      </c>
      <c r="I10" s="8">
        <v>78.656993999999997</v>
      </c>
      <c r="J10" s="8">
        <v>79.878150000000005</v>
      </c>
      <c r="K10" s="8">
        <v>90.668484000000007</v>
      </c>
      <c r="L10" s="8">
        <v>104.677947</v>
      </c>
      <c r="M10" s="8">
        <v>125.33770125000001</v>
      </c>
      <c r="N10" s="8">
        <v>145.9974555</v>
      </c>
      <c r="O10" s="8">
        <v>184.398976</v>
      </c>
      <c r="P10" s="8">
        <v>218.891504</v>
      </c>
      <c r="Q10" s="8">
        <v>250.30344149999999</v>
      </c>
      <c r="R10" s="8">
        <v>315.49196599999999</v>
      </c>
    </row>
    <row r="11" spans="1:28">
      <c r="A11" s="8" t="s">
        <v>10</v>
      </c>
      <c r="D11" s="8">
        <v>25.492391999999999</v>
      </c>
      <c r="E11" s="8">
        <v>54.001332000000005</v>
      </c>
      <c r="F11" s="8">
        <v>38.694200000000002</v>
      </c>
      <c r="G11" s="8">
        <v>51.420968000000002</v>
      </c>
      <c r="H11" s="8">
        <v>78.069918000000001</v>
      </c>
      <c r="I11" s="8">
        <v>107.54550999999999</v>
      </c>
      <c r="J11" s="8">
        <v>127.26315</v>
      </c>
      <c r="K11" s="8">
        <v>178.814132</v>
      </c>
      <c r="L11" s="8">
        <v>225.50819199999998</v>
      </c>
      <c r="M11" s="8">
        <v>282.78002899999996</v>
      </c>
      <c r="N11" s="8">
        <v>340.05186599999996</v>
      </c>
      <c r="O11" s="8">
        <v>368.80719750000003</v>
      </c>
      <c r="P11" s="8">
        <v>556.87281199999995</v>
      </c>
      <c r="Q11" s="8">
        <v>506.67392000000001</v>
      </c>
      <c r="R11" s="8">
        <v>807.75468000000001</v>
      </c>
    </row>
    <row r="12" spans="1:28">
      <c r="A12" s="8" t="s">
        <v>25</v>
      </c>
      <c r="D12" s="8">
        <v>22.464792000000003</v>
      </c>
      <c r="E12" s="8">
        <v>32.931680499999999</v>
      </c>
      <c r="F12" s="8">
        <v>36.360900000000001</v>
      </c>
      <c r="G12" s="8">
        <v>47.214072000000002</v>
      </c>
      <c r="H12" s="8">
        <v>61.746299999999998</v>
      </c>
      <c r="I12" s="8">
        <v>73.574712500000004</v>
      </c>
      <c r="J12" s="8">
        <v>92.325311999999997</v>
      </c>
      <c r="K12" s="8">
        <v>121.31876250000001</v>
      </c>
      <c r="L12" s="8">
        <v>180.32</v>
      </c>
      <c r="M12" s="8">
        <v>255.91328000000001</v>
      </c>
      <c r="N12" s="8">
        <v>331.50656000000004</v>
      </c>
      <c r="O12" s="8">
        <v>335.03000300000002</v>
      </c>
      <c r="P12" s="8">
        <v>456.57019500000001</v>
      </c>
      <c r="Q12" s="8">
        <v>503.15290299999998</v>
      </c>
      <c r="R12" s="8">
        <v>828.49748799999998</v>
      </c>
    </row>
    <row r="13" spans="1:28">
      <c r="A13" s="8" t="s">
        <v>26</v>
      </c>
      <c r="D13" s="8">
        <v>27.0051445</v>
      </c>
      <c r="E13" s="8">
        <v>38.738128500000002</v>
      </c>
      <c r="F13" s="8">
        <v>31.270624000000002</v>
      </c>
      <c r="G13" s="8">
        <v>48.140838000000002</v>
      </c>
      <c r="H13" s="8">
        <v>60.288078000000006</v>
      </c>
      <c r="I13" s="8">
        <v>70.697940499999987</v>
      </c>
      <c r="J13" s="8">
        <v>86.654884499999994</v>
      </c>
      <c r="K13" s="8">
        <v>95.285860499999998</v>
      </c>
      <c r="L13" s="8">
        <v>145.925274</v>
      </c>
      <c r="M13" s="8">
        <v>162.49294950000001</v>
      </c>
      <c r="N13" s="8">
        <v>179.06062500000002</v>
      </c>
      <c r="O13" s="8">
        <v>186.861546</v>
      </c>
      <c r="P13" s="8">
        <v>239.85901799999999</v>
      </c>
      <c r="Q13" s="8">
        <v>269.476584</v>
      </c>
      <c r="R13" s="8">
        <v>360.280888</v>
      </c>
    </row>
    <row r="14" spans="1:28">
      <c r="A14" s="8" t="s">
        <v>27</v>
      </c>
      <c r="D14" s="8">
        <v>17.697204000000003</v>
      </c>
      <c r="E14" s="8">
        <v>34.532071999999999</v>
      </c>
      <c r="F14" s="8">
        <v>34.283520000000003</v>
      </c>
      <c r="G14" s="8">
        <v>41.268549999999998</v>
      </c>
      <c r="H14" s="8">
        <v>68.28330824999999</v>
      </c>
      <c r="I14" s="8">
        <v>95.29806649999999</v>
      </c>
      <c r="J14" s="8">
        <v>103.42184850000001</v>
      </c>
      <c r="K14" s="8">
        <v>152.46</v>
      </c>
      <c r="L14" s="8">
        <v>234.56528749999998</v>
      </c>
      <c r="M14" s="8">
        <v>245.14001999999999</v>
      </c>
      <c r="N14" s="8">
        <v>345.52485000000001</v>
      </c>
      <c r="O14" s="8">
        <v>389.31714999999997</v>
      </c>
      <c r="P14" s="8">
        <v>463.28191200000003</v>
      </c>
      <c r="Q14" s="8">
        <v>497.34862749999996</v>
      </c>
      <c r="R14" s="8">
        <v>563.87056499999994</v>
      </c>
    </row>
    <row r="15" spans="1:28">
      <c r="A15" s="8" t="s">
        <v>28</v>
      </c>
      <c r="D15" s="8">
        <v>33.721187499999999</v>
      </c>
      <c r="E15" s="8">
        <v>41.8789485</v>
      </c>
      <c r="F15" s="8">
        <v>43.729343999999998</v>
      </c>
      <c r="G15" s="8">
        <v>42.363733500000002</v>
      </c>
      <c r="H15" s="8">
        <v>46.1558475</v>
      </c>
      <c r="I15" s="8">
        <v>49.947961499999998</v>
      </c>
      <c r="J15" s="8">
        <v>65.038464000000005</v>
      </c>
      <c r="K15" s="8">
        <v>145.14323400000001</v>
      </c>
      <c r="L15" s="8">
        <v>169.09888000000001</v>
      </c>
      <c r="M15" s="8">
        <v>208.35836999999998</v>
      </c>
      <c r="N15" s="8">
        <v>226.61815500000003</v>
      </c>
      <c r="O15" s="8">
        <v>281.75706000000002</v>
      </c>
      <c r="P15" s="8">
        <v>294.64371199999999</v>
      </c>
      <c r="Q15" s="8">
        <v>348.56178750000004</v>
      </c>
      <c r="R15" s="8">
        <v>433.59638750000005</v>
      </c>
    </row>
    <row r="16" spans="1:28">
      <c r="A16" s="8" t="s">
        <v>29</v>
      </c>
      <c r="D16" s="8">
        <v>25.489800000000002</v>
      </c>
      <c r="E16" s="8">
        <v>38.735495999999998</v>
      </c>
      <c r="F16" s="8">
        <v>76.431399999999996</v>
      </c>
      <c r="G16" s="8">
        <v>87.017062499999994</v>
      </c>
      <c r="H16" s="8">
        <v>96.325874999999996</v>
      </c>
      <c r="I16" s="8">
        <v>105.6346875</v>
      </c>
      <c r="J16" s="8">
        <v>143.08244999999999</v>
      </c>
      <c r="K16" s="8">
        <v>191.59245899999999</v>
      </c>
      <c r="L16" s="8">
        <v>236.09792000000002</v>
      </c>
      <c r="M16" s="8">
        <v>251.86482400000003</v>
      </c>
      <c r="N16" s="8">
        <v>286.34601599999996</v>
      </c>
      <c r="O16" s="8">
        <v>337.230054</v>
      </c>
      <c r="P16" s="8">
        <v>347.35218299999997</v>
      </c>
      <c r="Q16" s="8">
        <v>413.83604699999995</v>
      </c>
      <c r="R16" s="8">
        <v>431.58993999999996</v>
      </c>
    </row>
    <row r="17" spans="1:28">
      <c r="A17" s="8" t="s">
        <v>30</v>
      </c>
      <c r="D17" s="8">
        <v>24.048362000000001</v>
      </c>
      <c r="E17" s="8">
        <v>31.104364499999999</v>
      </c>
      <c r="F17" s="8">
        <v>63.188424000000005</v>
      </c>
      <c r="G17" s="8">
        <v>68.965344000000002</v>
      </c>
      <c r="H17" s="8">
        <v>84.708516000000003</v>
      </c>
      <c r="I17" s="8">
        <v>100.451688</v>
      </c>
      <c r="J17" s="8">
        <v>138.9606</v>
      </c>
      <c r="K17" s="8">
        <v>207.54890399999999</v>
      </c>
      <c r="L17" s="8">
        <v>260.00446099999999</v>
      </c>
      <c r="M17" s="8">
        <v>332.62319199999996</v>
      </c>
      <c r="N17" s="8">
        <v>545.31590400000005</v>
      </c>
      <c r="O17" s="8">
        <v>660.654</v>
      </c>
      <c r="P17" s="8">
        <v>760.40124999999989</v>
      </c>
      <c r="Q17" s="8">
        <v>975.9387200000001</v>
      </c>
      <c r="R17" s="8">
        <v>1119.0455039999999</v>
      </c>
    </row>
    <row r="18" spans="1:28">
      <c r="A18" s="8" t="s">
        <v>37</v>
      </c>
      <c r="D18" s="8">
        <v>39.095075000000001</v>
      </c>
      <c r="E18" s="8">
        <v>58.720388</v>
      </c>
      <c r="F18" s="8">
        <v>62.631872000000001</v>
      </c>
      <c r="G18" s="8">
        <v>57.702399999999997</v>
      </c>
      <c r="H18" s="8">
        <v>66.646799999999999</v>
      </c>
      <c r="I18" s="8">
        <v>78.555946500000005</v>
      </c>
      <c r="J18" s="8">
        <v>87.170471499999991</v>
      </c>
      <c r="K18" s="8">
        <v>99.766557000000006</v>
      </c>
      <c r="L18" s="8">
        <v>112.20742399999999</v>
      </c>
      <c r="M18" s="8">
        <v>151.7578125</v>
      </c>
      <c r="N18" s="8">
        <v>180.32646400000002</v>
      </c>
      <c r="O18" s="8">
        <v>233.14868849999999</v>
      </c>
      <c r="P18" s="8">
        <v>305.98432200000002</v>
      </c>
      <c r="Q18" s="8">
        <v>337.09419000000003</v>
      </c>
      <c r="R18" s="8">
        <v>377.86750000000001</v>
      </c>
    </row>
    <row r="19" spans="1:28">
      <c r="A19" s="8" t="s">
        <v>38</v>
      </c>
      <c r="D19" s="8">
        <v>45.656356500000001</v>
      </c>
      <c r="E19" s="8">
        <v>56.336403500000003</v>
      </c>
      <c r="F19" s="8">
        <v>57.622382999999999</v>
      </c>
      <c r="G19" s="8">
        <v>65.544187499999992</v>
      </c>
      <c r="H19" s="8">
        <v>75.46059799999999</v>
      </c>
      <c r="I19" s="8">
        <v>97.181887500000002</v>
      </c>
      <c r="J19" s="8">
        <v>110.33920000000001</v>
      </c>
      <c r="K19" s="8">
        <v>146.63679999999999</v>
      </c>
      <c r="L19" s="8">
        <v>187.72336799999999</v>
      </c>
      <c r="M19" s="8">
        <v>249.074366</v>
      </c>
      <c r="N19" s="8">
        <v>318.01542749999999</v>
      </c>
      <c r="O19" s="8">
        <v>374.07867500000003</v>
      </c>
      <c r="P19" s="8">
        <v>521.06188800000007</v>
      </c>
      <c r="Q19" s="8">
        <v>554.13710550000008</v>
      </c>
      <c r="R19" s="8">
        <v>674.17919999999992</v>
      </c>
    </row>
    <row r="20" spans="1:28">
      <c r="A20" s="8" t="s">
        <v>39</v>
      </c>
      <c r="D20" s="8">
        <v>23.872996000000001</v>
      </c>
      <c r="E20" s="8">
        <v>50.8547315</v>
      </c>
      <c r="F20" s="8">
        <v>62.749999999999993</v>
      </c>
      <c r="G20" s="8">
        <v>62.452237500000003</v>
      </c>
      <c r="H20" s="8">
        <v>65.965888000000007</v>
      </c>
      <c r="I20" s="8">
        <v>69.129720000000006</v>
      </c>
      <c r="J20" s="8">
        <v>67.346838000000005</v>
      </c>
      <c r="K20" s="8">
        <v>57.253311000000004</v>
      </c>
      <c r="L20" s="8">
        <v>62.610937500000006</v>
      </c>
      <c r="M20" s="8">
        <v>76.086503999999991</v>
      </c>
      <c r="N20" s="8">
        <v>84.930754500000006</v>
      </c>
      <c r="O20" s="8">
        <v>101.747049</v>
      </c>
      <c r="P20" s="8">
        <v>119.5209375</v>
      </c>
      <c r="Q20" s="8">
        <v>125.679136</v>
      </c>
      <c r="R20" s="8">
        <v>168.55128000000002</v>
      </c>
    </row>
    <row r="21" spans="1:28">
      <c r="A21" s="8" t="s">
        <v>40</v>
      </c>
      <c r="D21" s="8">
        <v>42.847315000000002</v>
      </c>
      <c r="E21" s="8">
        <v>51.841999999999999</v>
      </c>
      <c r="F21" s="8">
        <v>56.703139999999998</v>
      </c>
      <c r="G21" s="8">
        <v>54.549167999999995</v>
      </c>
      <c r="H21" s="8">
        <v>63.392913999999998</v>
      </c>
      <c r="I21" s="8">
        <v>74.9260625</v>
      </c>
      <c r="J21" s="8">
        <v>105.504768</v>
      </c>
      <c r="K21" s="8">
        <v>123.061966</v>
      </c>
      <c r="L21" s="8">
        <v>140.197824</v>
      </c>
      <c r="M21" s="8">
        <v>189.24975000000001</v>
      </c>
      <c r="N21" s="8">
        <v>231.075152</v>
      </c>
      <c r="O21" s="8">
        <v>256.7432</v>
      </c>
      <c r="P21" s="8">
        <v>290.24</v>
      </c>
      <c r="Q21" s="8">
        <v>351.05869800000005</v>
      </c>
      <c r="R21" s="8">
        <v>403.92836999999997</v>
      </c>
    </row>
    <row r="22" spans="1:28">
      <c r="A22" s="8" t="s">
        <v>45</v>
      </c>
      <c r="D22" s="8">
        <v>54.52225</v>
      </c>
      <c r="E22" s="8">
        <v>63.779287500000002</v>
      </c>
      <c r="F22" s="8">
        <v>78.504826999999992</v>
      </c>
      <c r="G22" s="8">
        <v>93.749369999999999</v>
      </c>
      <c r="H22" s="8">
        <v>110.042286</v>
      </c>
      <c r="I22" s="8">
        <v>131.45307349999999</v>
      </c>
      <c r="J22" s="8">
        <v>156.46534200000002</v>
      </c>
      <c r="K22" s="8">
        <v>186.06905</v>
      </c>
      <c r="L22" s="8">
        <v>208.99901249999999</v>
      </c>
      <c r="M22" s="8">
        <v>266.27737500000001</v>
      </c>
      <c r="N22" s="8">
        <v>321.92915050000005</v>
      </c>
      <c r="O22" s="8">
        <v>351.88073500000002</v>
      </c>
      <c r="P22" s="8">
        <v>400.27907999999996</v>
      </c>
      <c r="Q22" s="8">
        <v>455.05372500000004</v>
      </c>
      <c r="R22" s="8">
        <v>524.64889600000004</v>
      </c>
    </row>
    <row r="23" spans="1:28">
      <c r="A23" s="8" t="s">
        <v>21</v>
      </c>
      <c r="B23" s="8" t="e">
        <f t="shared" ref="B23:R23" si="0">AVERAGE(B2:B22)</f>
        <v>#DIV/0!</v>
      </c>
      <c r="C23" s="8" t="e">
        <f t="shared" si="0"/>
        <v>#DIV/0!</v>
      </c>
      <c r="D23" s="8">
        <f t="shared" si="0"/>
        <v>34.171987348632818</v>
      </c>
      <c r="E23" s="8">
        <f t="shared" si="0"/>
        <v>47.759973792178194</v>
      </c>
      <c r="F23" s="8">
        <f t="shared" si="0"/>
        <v>57.5561900390625</v>
      </c>
      <c r="G23" s="8">
        <f t="shared" si="0"/>
        <v>62.409007140345963</v>
      </c>
      <c r="H23" s="8">
        <f t="shared" si="0"/>
        <v>74.712783529924664</v>
      </c>
      <c r="I23" s="8">
        <f t="shared" si="0"/>
        <v>87.115587398763026</v>
      </c>
      <c r="J23" s="8">
        <f t="shared" si="0"/>
        <v>104.53877562255859</v>
      </c>
      <c r="K23" s="8">
        <f t="shared" si="0"/>
        <v>135.3302704592634</v>
      </c>
      <c r="L23" s="8">
        <f t="shared" si="0"/>
        <v>171.93217720386906</v>
      </c>
      <c r="M23" s="8">
        <f t="shared" si="0"/>
        <v>215.18368925478981</v>
      </c>
      <c r="N23" s="8">
        <f t="shared" si="0"/>
        <v>260.63177501227682</v>
      </c>
      <c r="O23" s="8">
        <f t="shared" si="0"/>
        <v>294.64052960379456</v>
      </c>
      <c r="P23" s="8">
        <f t="shared" si="0"/>
        <v>369.56202658844876</v>
      </c>
      <c r="Q23" s="8">
        <f t="shared" si="0"/>
        <v>421.74170835523614</v>
      </c>
      <c r="R23" s="8">
        <f t="shared" si="0"/>
        <v>519.03591034082035</v>
      </c>
      <c r="S23" s="8" t="e">
        <f t="shared" ref="S23:AB23" si="1">AVERAGE(S2:S21)</f>
        <v>#DIV/0!</v>
      </c>
      <c r="T23" s="8" t="e">
        <f t="shared" si="1"/>
        <v>#DIV/0!</v>
      </c>
      <c r="U23" s="8" t="e">
        <f t="shared" si="1"/>
        <v>#DIV/0!</v>
      </c>
      <c r="V23" s="8" t="e">
        <f t="shared" si="1"/>
        <v>#DIV/0!</v>
      </c>
      <c r="W23" s="8" t="e">
        <f t="shared" si="1"/>
        <v>#DIV/0!</v>
      </c>
      <c r="X23" s="8" t="e">
        <f t="shared" si="1"/>
        <v>#DIV/0!</v>
      </c>
      <c r="Y23" s="8" t="e">
        <f t="shared" si="1"/>
        <v>#DIV/0!</v>
      </c>
      <c r="Z23" s="8" t="e">
        <f t="shared" si="1"/>
        <v>#DIV/0!</v>
      </c>
      <c r="AA23" s="8" t="e">
        <f t="shared" si="1"/>
        <v>#DIV/0!</v>
      </c>
      <c r="AB23" s="8" t="e">
        <f t="shared" si="1"/>
        <v>#DIV/0!</v>
      </c>
    </row>
    <row r="24" spans="1:28">
      <c r="A24" s="8" t="s">
        <v>22</v>
      </c>
      <c r="B24" s="8">
        <f t="shared" ref="B24:R24" si="2">MAX(B2:B22)</f>
        <v>0</v>
      </c>
      <c r="C24" s="8">
        <f t="shared" si="2"/>
        <v>0</v>
      </c>
      <c r="D24" s="8">
        <f t="shared" si="2"/>
        <v>60.007990500000005</v>
      </c>
      <c r="E24" s="8">
        <f t="shared" si="2"/>
        <v>73.459165999999996</v>
      </c>
      <c r="F24" s="8">
        <f t="shared" si="2"/>
        <v>134.18798849999999</v>
      </c>
      <c r="G24" s="8">
        <f t="shared" si="2"/>
        <v>157.04943750000001</v>
      </c>
      <c r="H24" s="8">
        <f t="shared" si="2"/>
        <v>171.567003515625</v>
      </c>
      <c r="I24" s="8">
        <f t="shared" si="2"/>
        <v>185.8904330078125</v>
      </c>
      <c r="J24" s="8">
        <f t="shared" si="2"/>
        <v>200.2138625</v>
      </c>
      <c r="K24" s="8">
        <f t="shared" si="2"/>
        <v>286.61910749999998</v>
      </c>
      <c r="L24" s="8">
        <f t="shared" si="2"/>
        <v>418.63376250000005</v>
      </c>
      <c r="M24" s="8">
        <f t="shared" si="2"/>
        <v>520.59762449999994</v>
      </c>
      <c r="N24" s="8">
        <f t="shared" si="2"/>
        <v>545.31590400000005</v>
      </c>
      <c r="O24" s="8">
        <f t="shared" si="2"/>
        <v>660.654</v>
      </c>
      <c r="P24" s="8">
        <f t="shared" si="2"/>
        <v>760.40124999999989</v>
      </c>
      <c r="Q24" s="8">
        <f t="shared" si="2"/>
        <v>975.9387200000001</v>
      </c>
      <c r="R24" s="8">
        <f t="shared" si="2"/>
        <v>1119.0455039999999</v>
      </c>
      <c r="S24" s="8">
        <f t="shared" ref="S24:AB24" si="3">MAX(S2:S21)</f>
        <v>0</v>
      </c>
      <c r="T24" s="8">
        <f t="shared" si="3"/>
        <v>0</v>
      </c>
      <c r="U24" s="8">
        <f t="shared" si="3"/>
        <v>0</v>
      </c>
      <c r="V24" s="8">
        <f t="shared" si="3"/>
        <v>0</v>
      </c>
      <c r="W24" s="8">
        <f t="shared" si="3"/>
        <v>0</v>
      </c>
      <c r="X24" s="8">
        <f t="shared" si="3"/>
        <v>0</v>
      </c>
      <c r="Y24" s="8">
        <f t="shared" si="3"/>
        <v>0</v>
      </c>
      <c r="Z24" s="8">
        <f t="shared" si="3"/>
        <v>0</v>
      </c>
      <c r="AA24" s="8">
        <f t="shared" si="3"/>
        <v>0</v>
      </c>
      <c r="AB24" s="8">
        <f t="shared" si="3"/>
        <v>0</v>
      </c>
    </row>
    <row r="25" spans="1:28">
      <c r="A25" s="8" t="s">
        <v>23</v>
      </c>
      <c r="B25" s="8">
        <f t="shared" ref="B25:R25" si="4">MIN(B2:B22)</f>
        <v>0</v>
      </c>
      <c r="C25" s="8">
        <f t="shared" si="4"/>
        <v>0</v>
      </c>
      <c r="D25" s="8">
        <f t="shared" si="4"/>
        <v>17.697204000000003</v>
      </c>
      <c r="E25" s="8">
        <f t="shared" si="4"/>
        <v>30.879420999999997</v>
      </c>
      <c r="F25" s="8">
        <f t="shared" si="4"/>
        <v>31.270624000000002</v>
      </c>
      <c r="G25" s="8">
        <f t="shared" si="4"/>
        <v>32.688391113281249</v>
      </c>
      <c r="H25" s="8">
        <f t="shared" si="4"/>
        <v>46.1558475</v>
      </c>
      <c r="I25" s="8">
        <f t="shared" si="4"/>
        <v>49.947961499999998</v>
      </c>
      <c r="J25" s="8">
        <f t="shared" si="4"/>
        <v>60.457703500000001</v>
      </c>
      <c r="K25" s="8">
        <f t="shared" si="4"/>
        <v>57.253311000000004</v>
      </c>
      <c r="L25" s="8">
        <f t="shared" si="4"/>
        <v>62.610937500000006</v>
      </c>
      <c r="M25" s="8">
        <f t="shared" si="4"/>
        <v>76.086503999999991</v>
      </c>
      <c r="N25" s="8">
        <f t="shared" si="4"/>
        <v>84.930754500000006</v>
      </c>
      <c r="O25" s="8">
        <f t="shared" si="4"/>
        <v>101.747049</v>
      </c>
      <c r="P25" s="8">
        <f t="shared" si="4"/>
        <v>119.5209375</v>
      </c>
      <c r="Q25" s="8">
        <f t="shared" si="4"/>
        <v>125.679136</v>
      </c>
      <c r="R25" s="8">
        <f t="shared" si="4"/>
        <v>168.55128000000002</v>
      </c>
      <c r="S25" s="8">
        <f t="shared" ref="S25:AB25" si="5">MIN(S2:S21)</f>
        <v>0</v>
      </c>
      <c r="T25" s="8">
        <f t="shared" si="5"/>
        <v>0</v>
      </c>
      <c r="U25" s="8">
        <f t="shared" si="5"/>
        <v>0</v>
      </c>
      <c r="V25" s="8">
        <f t="shared" si="5"/>
        <v>0</v>
      </c>
      <c r="W25" s="8">
        <f t="shared" si="5"/>
        <v>0</v>
      </c>
      <c r="X25" s="8">
        <f t="shared" si="5"/>
        <v>0</v>
      </c>
      <c r="Y25" s="8">
        <f t="shared" si="5"/>
        <v>0</v>
      </c>
      <c r="Z25" s="8">
        <f t="shared" si="5"/>
        <v>0</v>
      </c>
      <c r="AA25" s="8">
        <f t="shared" si="5"/>
        <v>0</v>
      </c>
      <c r="AB25" s="8">
        <f t="shared" si="5"/>
        <v>0</v>
      </c>
    </row>
    <row r="26" spans="1:28">
      <c r="A26" s="8" t="s">
        <v>50</v>
      </c>
      <c r="D26" s="8">
        <f>_xlfn.STDEV.S(D2:D22)</f>
        <v>11.644184404123749</v>
      </c>
      <c r="E26" s="8">
        <f>_xlfn.STDEV.S(E2:E22)</f>
        <v>11.588661967491495</v>
      </c>
      <c r="F26" s="8">
        <f t="shared" ref="F26:Q26" si="6">_xlfn.STDEV.S(F2:F22)</f>
        <v>21.697230021206099</v>
      </c>
      <c r="G26" s="8">
        <f t="shared" si="6"/>
        <v>26.57153354362741</v>
      </c>
      <c r="H26" s="8">
        <f t="shared" si="6"/>
        <v>27.315358716843125</v>
      </c>
      <c r="I26" s="8">
        <f t="shared" si="6"/>
        <v>31.636313128634036</v>
      </c>
      <c r="J26" s="8">
        <f t="shared" si="6"/>
        <v>36.564867172675065</v>
      </c>
      <c r="K26" s="8">
        <f t="shared" si="6"/>
        <v>54.295842566581356</v>
      </c>
      <c r="L26" s="8">
        <f t="shared" si="6"/>
        <v>79.032459311488381</v>
      </c>
      <c r="M26" s="8">
        <f t="shared" si="6"/>
        <v>96.709843767717743</v>
      </c>
      <c r="N26" s="8">
        <f t="shared" si="6"/>
        <v>116.34415127735019</v>
      </c>
      <c r="O26" s="8">
        <f t="shared" si="6"/>
        <v>126.09591000141147</v>
      </c>
      <c r="P26" s="8">
        <f t="shared" si="6"/>
        <v>154.66436891194436</v>
      </c>
      <c r="Q26" s="8">
        <f t="shared" si="6"/>
        <v>182.16989752395233</v>
      </c>
      <c r="R26" s="8">
        <f>_xlfn.STDEV.S(R2:R22)</f>
        <v>227.38983914206432</v>
      </c>
    </row>
    <row r="27" spans="1:28">
      <c r="A27" s="8" t="s">
        <v>52</v>
      </c>
      <c r="D27" s="8">
        <f>D26*2</f>
        <v>23.288368808247498</v>
      </c>
      <c r="E27" s="8">
        <f t="shared" ref="E27:R27" si="7">E26*2</f>
        <v>23.17732393498299</v>
      </c>
      <c r="F27" s="8">
        <f t="shared" si="7"/>
        <v>43.394460042412199</v>
      </c>
      <c r="G27" s="8">
        <f t="shared" si="7"/>
        <v>53.143067087254821</v>
      </c>
      <c r="H27" s="8">
        <f t="shared" si="7"/>
        <v>54.63071743368625</v>
      </c>
      <c r="I27" s="8">
        <f t="shared" si="7"/>
        <v>63.272626257268072</v>
      </c>
      <c r="J27" s="8">
        <f t="shared" si="7"/>
        <v>73.12973434535013</v>
      </c>
      <c r="K27" s="8">
        <f t="shared" si="7"/>
        <v>108.59168513316271</v>
      </c>
      <c r="L27" s="8">
        <f t="shared" si="7"/>
        <v>158.06491862297676</v>
      </c>
      <c r="M27" s="8">
        <f t="shared" si="7"/>
        <v>193.41968753543549</v>
      </c>
      <c r="N27" s="8">
        <f t="shared" si="7"/>
        <v>232.68830255470039</v>
      </c>
      <c r="O27" s="8">
        <f t="shared" si="7"/>
        <v>252.19182000282294</v>
      </c>
      <c r="P27" s="8">
        <f t="shared" si="7"/>
        <v>309.32873782388873</v>
      </c>
      <c r="Q27" s="8">
        <f t="shared" si="7"/>
        <v>364.33979504790466</v>
      </c>
      <c r="R27" s="8">
        <f t="shared" si="7"/>
        <v>454.77967828412864</v>
      </c>
    </row>
    <row r="28" spans="1:28">
      <c r="A28" s="8" t="s">
        <v>11</v>
      </c>
      <c r="D28" s="8">
        <v>48.55532776171875</v>
      </c>
      <c r="E28" s="8">
        <v>51.192969820312499</v>
      </c>
      <c r="F28" s="8">
        <v>49.934878812499988</v>
      </c>
      <c r="G28" s="8">
        <v>66.241686225585923</v>
      </c>
      <c r="H28" s="8">
        <v>69.141597186523427</v>
      </c>
      <c r="I28" s="8">
        <v>96.872492163085923</v>
      </c>
      <c r="J28" s="8">
        <v>123.47407184374998</v>
      </c>
      <c r="K28" s="8">
        <v>160.64959075000002</v>
      </c>
      <c r="L28" s="8">
        <v>203.98012746484375</v>
      </c>
      <c r="M28" s="8">
        <v>270.1016146318359</v>
      </c>
      <c r="N28" s="8">
        <v>366.26398066406244</v>
      </c>
      <c r="O28" s="8">
        <v>402.75298653027352</v>
      </c>
      <c r="P28" s="8">
        <v>451.21746561328132</v>
      </c>
      <c r="Q28" s="8">
        <v>483.36458046874992</v>
      </c>
      <c r="R28" s="8">
        <v>505.48583923730473</v>
      </c>
    </row>
    <row r="29" spans="1:28">
      <c r="A29" s="8" t="s">
        <v>12</v>
      </c>
      <c r="D29" s="8">
        <v>64.085074648437484</v>
      </c>
      <c r="E29" s="8">
        <v>91.518947433593738</v>
      </c>
      <c r="F29" s="8">
        <v>98.319433010742202</v>
      </c>
      <c r="G29" s="8">
        <v>101.07817629687499</v>
      </c>
      <c r="H29" s="8">
        <v>88.926155812499999</v>
      </c>
      <c r="I29" s="8">
        <v>106.08798942187502</v>
      </c>
      <c r="J29" s="8">
        <v>102.51648362499999</v>
      </c>
      <c r="K29" s="8">
        <v>116.34249631640624</v>
      </c>
      <c r="L29" s="8">
        <v>160.62670829003903</v>
      </c>
      <c r="M29" s="8">
        <v>237.551974</v>
      </c>
      <c r="N29" s="8">
        <v>280.30411130175781</v>
      </c>
      <c r="O29" s="8">
        <v>280.60119140625</v>
      </c>
      <c r="P29" s="8">
        <v>328.13221923828127</v>
      </c>
      <c r="Q29" s="8">
        <v>407.44701200000003</v>
      </c>
      <c r="R29" s="8">
        <v>436.58479024999997</v>
      </c>
    </row>
    <row r="30" spans="1:28">
      <c r="A30" s="8" t="s">
        <v>13</v>
      </c>
      <c r="D30" s="8">
        <v>45.996617408203136</v>
      </c>
      <c r="E30" s="8">
        <v>68.626504757812498</v>
      </c>
      <c r="F30" s="8">
        <v>104.30578002929688</v>
      </c>
      <c r="G30" s="8">
        <v>101.44191503906249</v>
      </c>
      <c r="H30" s="8">
        <v>85.474158000000003</v>
      </c>
      <c r="I30" s="8">
        <v>113.45291199999998</v>
      </c>
      <c r="J30" s="8">
        <v>133.50165468750004</v>
      </c>
      <c r="K30" s="8">
        <v>171.29511230468751</v>
      </c>
      <c r="L30" s="8">
        <v>175.04634281835939</v>
      </c>
      <c r="M30" s="8">
        <v>230.94725280761716</v>
      </c>
      <c r="N30" s="8">
        <v>507.49146168750002</v>
      </c>
      <c r="O30" s="8">
        <v>586.74535088867174</v>
      </c>
      <c r="P30" s="8">
        <v>683.71203320703114</v>
      </c>
      <c r="Q30" s="8">
        <v>853.73747200000014</v>
      </c>
      <c r="R30" s="8">
        <v>880.68121287890642</v>
      </c>
    </row>
    <row r="31" spans="1:28">
      <c r="A31" s="8" t="s">
        <v>14</v>
      </c>
      <c r="D31" s="8">
        <v>43.818130801757789</v>
      </c>
      <c r="E31" s="8">
        <v>34.377776876953121</v>
      </c>
      <c r="F31" s="8">
        <v>57.532941984375</v>
      </c>
      <c r="G31" s="8">
        <v>44.591944429687487</v>
      </c>
      <c r="H31" s="8">
        <v>43.413611253906247</v>
      </c>
      <c r="I31" s="8">
        <v>49.635883608398444</v>
      </c>
      <c r="J31" s="8">
        <v>36.548444337890629</v>
      </c>
      <c r="K31" s="8">
        <v>56.854155250000005</v>
      </c>
      <c r="L31" s="8">
        <v>120.21339425976565</v>
      </c>
      <c r="M31" s="8">
        <v>173.81719526660154</v>
      </c>
      <c r="N31" s="8">
        <v>313.92189575000003</v>
      </c>
      <c r="O31" s="8">
        <v>455.61311509765625</v>
      </c>
      <c r="P31" s="8">
        <v>550.21801344140636</v>
      </c>
      <c r="Q31" s="8">
        <v>678.88922097851548</v>
      </c>
      <c r="R31" s="8">
        <v>784.35841367187493</v>
      </c>
    </row>
    <row r="32" spans="1:28">
      <c r="A32" s="8" t="s">
        <v>15</v>
      </c>
      <c r="D32" s="8">
        <v>147.84470550781253</v>
      </c>
      <c r="E32" s="8">
        <v>225.3240223671875</v>
      </c>
      <c r="F32" s="8">
        <v>166.39680268749996</v>
      </c>
      <c r="G32" s="8">
        <v>110.84888579101562</v>
      </c>
      <c r="H32" s="8">
        <v>97.105417352539078</v>
      </c>
      <c r="I32" s="8">
        <v>134.41987500000002</v>
      </c>
      <c r="J32" s="8">
        <v>172.49973671191407</v>
      </c>
      <c r="K32" s="8">
        <v>184.69612814941405</v>
      </c>
      <c r="L32" s="8">
        <v>227.15700620703126</v>
      </c>
      <c r="M32" s="8">
        <v>263.37137329101563</v>
      </c>
      <c r="N32" s="8">
        <v>368.80848303222655</v>
      </c>
      <c r="O32" s="8">
        <v>431.06288451171878</v>
      </c>
      <c r="P32" s="8">
        <v>524.0508277070312</v>
      </c>
      <c r="Q32" s="8">
        <v>775.27961791699227</v>
      </c>
      <c r="R32" s="8">
        <v>816.15770161132832</v>
      </c>
    </row>
    <row r="33" spans="1:18">
      <c r="A33" s="8" t="s">
        <v>16</v>
      </c>
      <c r="D33" s="8">
        <v>34.182024499999997</v>
      </c>
      <c r="E33" s="8">
        <v>41.165056</v>
      </c>
      <c r="F33" s="8">
        <v>45.017084000000004</v>
      </c>
      <c r="G33" s="8">
        <v>52.087968000000004</v>
      </c>
      <c r="H33" s="8">
        <v>57.532941984375</v>
      </c>
      <c r="I33" s="8">
        <v>62.999972992187502</v>
      </c>
      <c r="J33" s="8">
        <v>68.467004000000003</v>
      </c>
      <c r="K33" s="8">
        <v>87.473862499999996</v>
      </c>
      <c r="L33" s="8">
        <v>126.240256</v>
      </c>
      <c r="M33" s="8">
        <v>154.20754249999999</v>
      </c>
      <c r="N33" s="8">
        <v>180.56720000000001</v>
      </c>
      <c r="O33" s="8">
        <v>212.997187</v>
      </c>
      <c r="P33" s="8">
        <v>257.99363199999999</v>
      </c>
      <c r="Q33" s="8">
        <v>343.1460285</v>
      </c>
      <c r="R33" s="8">
        <v>360.02981249999999</v>
      </c>
    </row>
    <row r="34" spans="1:18">
      <c r="A34" s="8" t="s">
        <v>17</v>
      </c>
      <c r="D34" s="8">
        <v>32.644818000000001</v>
      </c>
      <c r="E34" s="8">
        <v>43.7660415</v>
      </c>
      <c r="F34" s="8">
        <v>58.477719999999998</v>
      </c>
      <c r="G34" s="8">
        <v>51.013600000000004</v>
      </c>
      <c r="H34" s="8">
        <v>55.377696000000007</v>
      </c>
      <c r="I34" s="8">
        <v>59.570230500000001</v>
      </c>
      <c r="J34" s="8">
        <v>63.762764999999995</v>
      </c>
      <c r="K34" s="8">
        <v>62.370000000000005</v>
      </c>
      <c r="L34" s="8">
        <v>127.48335400000001</v>
      </c>
      <c r="M34" s="8">
        <v>174.662634</v>
      </c>
      <c r="N34" s="8">
        <v>198.26391000000001</v>
      </c>
      <c r="O34" s="8">
        <v>213.48634999999999</v>
      </c>
      <c r="P34" s="8">
        <v>260.56846200000001</v>
      </c>
      <c r="Q34" s="8">
        <v>346.36936250000002</v>
      </c>
      <c r="R34" s="8">
        <v>427.98470000000003</v>
      </c>
    </row>
    <row r="35" spans="1:18">
      <c r="A35" s="8" t="s">
        <v>18</v>
      </c>
      <c r="D35" s="8">
        <v>54.951937500000007</v>
      </c>
      <c r="E35" s="8">
        <v>93.074699999999993</v>
      </c>
      <c r="F35" s="8">
        <v>94.505020000000002</v>
      </c>
      <c r="G35" s="8">
        <v>104.378625</v>
      </c>
      <c r="H35" s="8">
        <v>110.06613700000001</v>
      </c>
      <c r="I35" s="8">
        <v>120.02544349999999</v>
      </c>
      <c r="J35" s="8">
        <v>129.98474999999999</v>
      </c>
      <c r="K35" s="8">
        <v>141.69329999999999</v>
      </c>
      <c r="L35" s="8">
        <v>170.01134400000001</v>
      </c>
      <c r="M35" s="8">
        <v>200.473896</v>
      </c>
      <c r="N35" s="8">
        <v>218.702484</v>
      </c>
      <c r="O35" s="8">
        <v>243.76319999999998</v>
      </c>
      <c r="P35" s="8">
        <v>286.65786600000001</v>
      </c>
      <c r="Q35" s="8">
        <v>374.85892999999999</v>
      </c>
      <c r="R35" s="8">
        <v>486.22324199999997</v>
      </c>
    </row>
    <row r="36" spans="1:18">
      <c r="A36" s="8" t="s">
        <v>19</v>
      </c>
      <c r="D36" s="8">
        <v>42.892199999999995</v>
      </c>
      <c r="E36" s="8">
        <v>50.561820000000004</v>
      </c>
      <c r="F36" s="8">
        <v>51.4206</v>
      </c>
      <c r="G36" s="8">
        <v>51.956899999999997</v>
      </c>
      <c r="H36" s="8">
        <v>55.149198499999997</v>
      </c>
      <c r="I36" s="8">
        <v>57.3219955</v>
      </c>
      <c r="J36" s="8">
        <v>59.494792500000003</v>
      </c>
      <c r="K36" s="8">
        <v>65.996284000000003</v>
      </c>
      <c r="L36" s="8">
        <v>87.255751000000004</v>
      </c>
      <c r="M36" s="8">
        <v>135.9921765</v>
      </c>
      <c r="N36" s="8">
        <v>166.1124825</v>
      </c>
      <c r="O36" s="8">
        <v>231.78891400000001</v>
      </c>
      <c r="P36" s="8">
        <v>247.1307405</v>
      </c>
      <c r="Q36" s="8">
        <v>356.6689925</v>
      </c>
      <c r="R36" s="8">
        <v>345.85516999999999</v>
      </c>
    </row>
    <row r="37" spans="1:18">
      <c r="A37" s="8" t="s">
        <v>20</v>
      </c>
      <c r="D37" s="8">
        <v>27.604800000000001</v>
      </c>
      <c r="E37" s="8">
        <v>36.542025000000002</v>
      </c>
      <c r="F37" s="8">
        <v>44.194716</v>
      </c>
      <c r="G37" s="8">
        <v>57.966999999999992</v>
      </c>
      <c r="H37" s="8">
        <v>89.826640000000012</v>
      </c>
      <c r="I37" s="8">
        <v>116.69041800000001</v>
      </c>
      <c r="J37" s="8">
        <v>138.22847999999999</v>
      </c>
      <c r="K37" s="8">
        <v>165.88508999999999</v>
      </c>
      <c r="L37" s="8">
        <v>185.02281000000002</v>
      </c>
      <c r="M37" s="8">
        <v>211.42551125</v>
      </c>
      <c r="N37" s="8">
        <v>237.82821250000001</v>
      </c>
      <c r="O37" s="8">
        <v>280.03016249999996</v>
      </c>
      <c r="P37" s="8">
        <v>411.82100550000001</v>
      </c>
      <c r="Q37" s="8">
        <v>455.59709600000002</v>
      </c>
      <c r="R37" s="8">
        <v>540.15415199999995</v>
      </c>
    </row>
    <row r="38" spans="1:18">
      <c r="A38" s="8" t="s">
        <v>31</v>
      </c>
      <c r="D38" s="8">
        <v>31.768000000000001</v>
      </c>
      <c r="E38" s="8">
        <v>44.314783999999996</v>
      </c>
      <c r="F38" s="8">
        <v>35.014060000000001</v>
      </c>
      <c r="G38" s="8">
        <v>63.093937500000003</v>
      </c>
      <c r="H38" s="8">
        <v>75.000299999999996</v>
      </c>
      <c r="I38" s="8">
        <v>85.438162500000004</v>
      </c>
      <c r="J38" s="8">
        <v>100.262304</v>
      </c>
      <c r="K38" s="8">
        <v>115.48088750000001</v>
      </c>
      <c r="L38" s="8">
        <v>133.904505</v>
      </c>
      <c r="M38" s="8">
        <v>146.99474850000001</v>
      </c>
      <c r="N38" s="8">
        <v>160.084992</v>
      </c>
      <c r="O38" s="8">
        <v>261.180046</v>
      </c>
      <c r="P38" s="8">
        <v>309.57248250000004</v>
      </c>
      <c r="Q38" s="8">
        <v>416.35432000000003</v>
      </c>
      <c r="R38" s="8">
        <v>637.39055450000001</v>
      </c>
    </row>
    <row r="39" spans="1:18">
      <c r="A39" s="8" t="s">
        <v>32</v>
      </c>
      <c r="D39" s="8">
        <v>39.120889499999997</v>
      </c>
      <c r="E39" s="8">
        <v>46.379007999999999</v>
      </c>
      <c r="F39" s="8">
        <v>47.558641499999993</v>
      </c>
      <c r="G39" s="8">
        <v>72.876874999999998</v>
      </c>
      <c r="H39" s="8">
        <v>89.408170499999997</v>
      </c>
      <c r="I39" s="8">
        <v>119.4816</v>
      </c>
      <c r="J39" s="8">
        <v>144.952192</v>
      </c>
      <c r="K39" s="8">
        <v>209.2203165</v>
      </c>
      <c r="L39" s="8">
        <v>345.6323855</v>
      </c>
      <c r="M39" s="8">
        <v>399.44461274999998</v>
      </c>
      <c r="N39" s="8">
        <v>453.25683999999995</v>
      </c>
      <c r="O39" s="8">
        <v>500.72135400000002</v>
      </c>
      <c r="P39" s="8">
        <v>675.09911700000009</v>
      </c>
      <c r="Q39" s="8">
        <v>904.33184799999992</v>
      </c>
      <c r="R39" s="8">
        <v>891.87840000000006</v>
      </c>
    </row>
    <row r="40" spans="1:18">
      <c r="A40" s="8" t="s">
        <v>33</v>
      </c>
      <c r="D40" s="8">
        <v>40.559199999999997</v>
      </c>
      <c r="E40" s="8">
        <v>50.82</v>
      </c>
      <c r="F40" s="8">
        <v>51.374587499999997</v>
      </c>
      <c r="G40" s="8">
        <v>58.314391999999998</v>
      </c>
      <c r="H40" s="8">
        <v>80.075095000000005</v>
      </c>
      <c r="I40" s="8">
        <v>89.303381999999999</v>
      </c>
      <c r="J40" s="8">
        <v>121.38526400000001</v>
      </c>
      <c r="K40" s="8">
        <v>153.59091799999999</v>
      </c>
      <c r="L40" s="8">
        <v>216.11262600000001</v>
      </c>
      <c r="M40" s="8">
        <v>312.207652</v>
      </c>
      <c r="N40" s="8">
        <v>408.30267799999996</v>
      </c>
      <c r="O40" s="8">
        <v>444.44531249999994</v>
      </c>
      <c r="P40" s="8">
        <v>503.99330399999997</v>
      </c>
      <c r="Q40" s="8">
        <v>659.49224249999997</v>
      </c>
      <c r="R40" s="8">
        <v>792.50475349999999</v>
      </c>
    </row>
    <row r="41" spans="1:18">
      <c r="A41" s="8" t="s">
        <v>34</v>
      </c>
      <c r="D41" s="8">
        <v>25.744698</v>
      </c>
      <c r="E41" s="8">
        <v>39.871409499999999</v>
      </c>
      <c r="F41" s="8">
        <v>43.689906499999992</v>
      </c>
      <c r="G41" s="8">
        <v>40.259025000000001</v>
      </c>
      <c r="H41" s="8">
        <v>45.757624499999999</v>
      </c>
      <c r="I41" s="8">
        <v>51.256223999999996</v>
      </c>
      <c r="J41" s="8">
        <v>65.046523500000006</v>
      </c>
      <c r="K41" s="8">
        <v>97.494072000000003</v>
      </c>
      <c r="L41" s="8">
        <v>156.6661</v>
      </c>
      <c r="M41" s="8">
        <v>194.754582</v>
      </c>
      <c r="N41" s="8">
        <v>295.23353600000002</v>
      </c>
      <c r="O41" s="8">
        <v>368.87492499999996</v>
      </c>
      <c r="P41" s="8">
        <v>430.39651599999996</v>
      </c>
      <c r="Q41" s="8">
        <v>530.72415000000001</v>
      </c>
      <c r="R41" s="8">
        <v>623.22853599999996</v>
      </c>
    </row>
    <row r="42" spans="1:18">
      <c r="A42" s="8" t="s">
        <v>35</v>
      </c>
      <c r="D42" s="8">
        <v>25.760839499999999</v>
      </c>
      <c r="E42" s="8">
        <v>41.983200000000004</v>
      </c>
      <c r="F42" s="8">
        <v>47.528800000000004</v>
      </c>
      <c r="G42" s="8">
        <v>55.149198499999997</v>
      </c>
      <c r="H42" s="8">
        <v>61.419172499999995</v>
      </c>
      <c r="I42" s="8">
        <v>67.689146499999993</v>
      </c>
      <c r="J42" s="8">
        <v>102.9047285</v>
      </c>
      <c r="K42" s="8">
        <v>164.122378</v>
      </c>
      <c r="L42" s="8">
        <v>198.84641400000001</v>
      </c>
      <c r="M42" s="8">
        <v>272.76599099999999</v>
      </c>
      <c r="N42" s="8">
        <v>344.58993900000002</v>
      </c>
      <c r="O42" s="8">
        <v>499.73975999999999</v>
      </c>
      <c r="P42" s="8">
        <v>616.77744199999995</v>
      </c>
      <c r="Q42" s="8">
        <v>808.31855000000007</v>
      </c>
      <c r="R42" s="8">
        <v>999.37083600000005</v>
      </c>
    </row>
    <row r="43" spans="1:18">
      <c r="A43" s="8" t="s">
        <v>36</v>
      </c>
      <c r="D43" s="8">
        <v>28.324244</v>
      </c>
      <c r="E43" s="8">
        <v>38.053800000000003</v>
      </c>
      <c r="F43" s="8">
        <v>55.377696000000007</v>
      </c>
      <c r="G43" s="8">
        <v>82.968575999999999</v>
      </c>
      <c r="H43" s="8">
        <v>105.83931225000001</v>
      </c>
      <c r="I43" s="8">
        <v>128.7100485</v>
      </c>
      <c r="J43" s="8">
        <v>222.24307200000001</v>
      </c>
      <c r="K43" s="8">
        <v>279.04599999999999</v>
      </c>
      <c r="L43" s="8">
        <v>367.76340700000003</v>
      </c>
      <c r="M43" s="8">
        <v>384.88632699999999</v>
      </c>
      <c r="N43" s="8">
        <v>483.854535</v>
      </c>
      <c r="O43" s="8">
        <v>629.4809745</v>
      </c>
      <c r="P43" s="8">
        <v>658.74375000000009</v>
      </c>
      <c r="Q43" s="8">
        <v>712.79740800000002</v>
      </c>
      <c r="R43" s="8">
        <v>940.18618749999996</v>
      </c>
    </row>
    <row r="44" spans="1:18">
      <c r="A44" s="8" t="s">
        <v>41</v>
      </c>
      <c r="D44" s="8">
        <v>42.966464000000002</v>
      </c>
      <c r="E44" s="8">
        <v>61.454097000000004</v>
      </c>
      <c r="F44" s="8">
        <v>65.385760500000004</v>
      </c>
      <c r="G44" s="8">
        <v>77.43043200000001</v>
      </c>
      <c r="H44" s="8">
        <v>88.205421000000001</v>
      </c>
      <c r="I44" s="8">
        <v>98.980409999999992</v>
      </c>
      <c r="J44" s="8">
        <v>110.06613700000001</v>
      </c>
      <c r="K44" s="8">
        <v>140.483622</v>
      </c>
      <c r="L44" s="8">
        <v>188.68178399999999</v>
      </c>
      <c r="M44" s="8">
        <v>261.9162</v>
      </c>
      <c r="N44" s="8">
        <v>348.0747705</v>
      </c>
      <c r="O44" s="8">
        <v>464.77359999999999</v>
      </c>
      <c r="P44" s="8">
        <v>532.05667199999993</v>
      </c>
      <c r="Q44" s="8">
        <v>558.58912650000002</v>
      </c>
      <c r="R44" s="8">
        <v>663.46955000000003</v>
      </c>
    </row>
    <row r="45" spans="1:18">
      <c r="A45" s="8" t="s">
        <v>42</v>
      </c>
      <c r="D45" s="8">
        <v>49.160916</v>
      </c>
      <c r="E45" s="8">
        <v>66.671241999999992</v>
      </c>
      <c r="F45" s="8">
        <v>92.099591999999987</v>
      </c>
      <c r="G45" s="8">
        <v>94.234400000000008</v>
      </c>
      <c r="H45" s="8">
        <v>101.27772849999999</v>
      </c>
      <c r="I45" s="8">
        <v>144.040088</v>
      </c>
      <c r="J45" s="8">
        <v>187.743843</v>
      </c>
      <c r="K45" s="8">
        <v>247.76751999999999</v>
      </c>
      <c r="L45" s="8">
        <v>270.7697465</v>
      </c>
      <c r="M45" s="8">
        <v>310.354218</v>
      </c>
      <c r="N45" s="8">
        <v>387.6386</v>
      </c>
      <c r="O45" s="8">
        <v>537.82520049999994</v>
      </c>
      <c r="P45" s="8">
        <v>693.75067799999999</v>
      </c>
      <c r="Q45" s="8">
        <v>815.31359999999995</v>
      </c>
      <c r="R45" s="8">
        <v>880.89538800000003</v>
      </c>
    </row>
    <row r="46" spans="1:18">
      <c r="A46" s="8" t="s">
        <v>43</v>
      </c>
      <c r="D46" s="8">
        <v>22.632534</v>
      </c>
      <c r="E46" s="8">
        <v>34.187094500000001</v>
      </c>
      <c r="F46" s="8">
        <v>46.864384000000001</v>
      </c>
      <c r="G46" s="8">
        <v>65.983410000000006</v>
      </c>
      <c r="H46" s="8">
        <v>76.605587</v>
      </c>
      <c r="I46" s="8">
        <v>92.961362500000007</v>
      </c>
      <c r="J46" s="8">
        <v>145.97631000000001</v>
      </c>
      <c r="K46" s="8">
        <v>192.97079099999999</v>
      </c>
      <c r="L46" s="8">
        <v>247.9566485</v>
      </c>
      <c r="M46" s="8">
        <v>321.39261049999999</v>
      </c>
      <c r="N46" s="8">
        <v>412.12289999999996</v>
      </c>
      <c r="O46" s="8">
        <v>478.44380649999994</v>
      </c>
      <c r="P46" s="8">
        <v>590.85635400000001</v>
      </c>
      <c r="Q46" s="8">
        <v>889.66098750000003</v>
      </c>
      <c r="R46" s="8">
        <v>1005.1155135</v>
      </c>
    </row>
    <row r="47" spans="1:18">
      <c r="A47" s="8" t="s">
        <v>44</v>
      </c>
      <c r="D47" s="8">
        <v>57.299624999999999</v>
      </c>
      <c r="E47" s="8">
        <v>73.486655999999996</v>
      </c>
      <c r="F47" s="8">
        <v>95.949787499999999</v>
      </c>
      <c r="G47" s="8">
        <v>99.7329285</v>
      </c>
      <c r="H47" s="8">
        <v>122.94374400000001</v>
      </c>
      <c r="I47" s="8">
        <v>167.6115945</v>
      </c>
      <c r="J47" s="8">
        <v>193.05855</v>
      </c>
      <c r="K47" s="8">
        <v>243.79264000000001</v>
      </c>
      <c r="L47" s="8">
        <v>269.329275</v>
      </c>
      <c r="M47" s="8">
        <v>382.72233399999999</v>
      </c>
      <c r="N47" s="8">
        <v>480.33199999999999</v>
      </c>
      <c r="O47" s="8">
        <v>565.95941049999999</v>
      </c>
      <c r="P47" s="8">
        <v>708.35624999999993</v>
      </c>
      <c r="Q47" s="8">
        <v>898.15157600000009</v>
      </c>
      <c r="R47" s="8">
        <v>1018.58682</v>
      </c>
    </row>
    <row r="48" spans="1:18">
      <c r="A48" s="8" t="s">
        <v>46</v>
      </c>
      <c r="D48" s="8">
        <v>38.382150000000003</v>
      </c>
      <c r="E48" s="8">
        <v>39.558438000000002</v>
      </c>
      <c r="F48" s="8">
        <v>54.502983999999998</v>
      </c>
      <c r="G48" s="8">
        <v>69.000228000000007</v>
      </c>
      <c r="H48" s="8">
        <v>93.172283999999991</v>
      </c>
      <c r="I48" s="8">
        <v>108.020304</v>
      </c>
      <c r="J48" s="8">
        <v>114.54419999999999</v>
      </c>
      <c r="K48" s="8">
        <v>143.466803</v>
      </c>
      <c r="L48" s="8">
        <v>158.280192</v>
      </c>
      <c r="M48" s="8">
        <v>196.38378399999999</v>
      </c>
      <c r="N48" s="8">
        <v>253.03221600000001</v>
      </c>
      <c r="O48" s="8">
        <v>264.52170000000001</v>
      </c>
      <c r="P48" s="8">
        <v>319.36062350000003</v>
      </c>
      <c r="Q48" s="8">
        <v>382.89418749999999</v>
      </c>
      <c r="R48" s="8">
        <v>407.32194599999997</v>
      </c>
    </row>
    <row r="49" spans="1:28">
      <c r="A49" s="8" t="s">
        <v>47</v>
      </c>
      <c r="D49" s="8">
        <v>45.111261999999996</v>
      </c>
      <c r="E49" s="8">
        <v>63.481313</v>
      </c>
      <c r="F49" s="8">
        <v>89.744901999999996</v>
      </c>
      <c r="G49" s="8">
        <v>97.705975500000008</v>
      </c>
      <c r="H49" s="8">
        <v>106.091272</v>
      </c>
      <c r="I49" s="8">
        <v>126.315288</v>
      </c>
      <c r="J49" s="8">
        <v>157.72954999999999</v>
      </c>
      <c r="K49" s="8">
        <v>194.56650449999998</v>
      </c>
      <c r="L49" s="8">
        <v>203.47220250000001</v>
      </c>
      <c r="M49" s="8">
        <v>238.1449245</v>
      </c>
      <c r="N49" s="8">
        <v>278.93489400000004</v>
      </c>
      <c r="O49" s="8">
        <v>320.36516599999999</v>
      </c>
      <c r="P49" s="8">
        <v>378.11862000000002</v>
      </c>
      <c r="Q49" s="8">
        <v>418.59925799999996</v>
      </c>
      <c r="R49" s="8">
        <v>472.96501200000006</v>
      </c>
    </row>
    <row r="50" spans="1:28">
      <c r="A50" s="8" t="s">
        <v>21</v>
      </c>
      <c r="B50" s="8" t="e">
        <f t="shared" ref="B50:R50" si="8">AVERAGE(B28:B49)</f>
        <v>#DIV/0!</v>
      </c>
      <c r="C50" s="8" t="e">
        <f t="shared" si="8"/>
        <v>#DIV/0!</v>
      </c>
      <c r="D50" s="8">
        <f t="shared" si="8"/>
        <v>44.973020823996798</v>
      </c>
      <c r="E50" s="8">
        <f t="shared" si="8"/>
        <v>60.745950261629986</v>
      </c>
      <c r="F50" s="8">
        <f t="shared" si="8"/>
        <v>67.963458092018811</v>
      </c>
      <c r="G50" s="8">
        <f t="shared" si="8"/>
        <v>73.561639944646672</v>
      </c>
      <c r="H50" s="8">
        <f t="shared" si="8"/>
        <v>81.718602924538345</v>
      </c>
      <c r="I50" s="8">
        <f t="shared" si="8"/>
        <v>99.858401053888485</v>
      </c>
      <c r="J50" s="8">
        <f t="shared" si="8"/>
        <v>122.47231166845704</v>
      </c>
      <c r="K50" s="8">
        <f t="shared" si="8"/>
        <v>154.3299305350231</v>
      </c>
      <c r="L50" s="8">
        <f t="shared" si="8"/>
        <v>197.29329000181997</v>
      </c>
      <c r="M50" s="8">
        <f t="shared" si="8"/>
        <v>248.84177974986687</v>
      </c>
      <c r="N50" s="8">
        <f t="shared" si="8"/>
        <v>324.71464190616132</v>
      </c>
      <c r="O50" s="8">
        <f t="shared" si="8"/>
        <v>394.32602715611671</v>
      </c>
      <c r="P50" s="8">
        <f t="shared" si="8"/>
        <v>473.57200337304675</v>
      </c>
      <c r="Q50" s="8">
        <f t="shared" si="8"/>
        <v>594.11752576655726</v>
      </c>
      <c r="R50" s="8">
        <f t="shared" si="8"/>
        <v>678.01947868860987</v>
      </c>
      <c r="S50" s="8" t="e">
        <f t="shared" ref="S50:AB50" si="9">AVERAGE(S28:S47)</f>
        <v>#DIV/0!</v>
      </c>
      <c r="T50" s="8" t="e">
        <f t="shared" si="9"/>
        <v>#DIV/0!</v>
      </c>
      <c r="U50" s="8" t="e">
        <f t="shared" si="9"/>
        <v>#DIV/0!</v>
      </c>
      <c r="V50" s="8" t="e">
        <f t="shared" si="9"/>
        <v>#DIV/0!</v>
      </c>
      <c r="W50" s="8" t="e">
        <f t="shared" si="9"/>
        <v>#DIV/0!</v>
      </c>
      <c r="X50" s="8" t="e">
        <f t="shared" si="9"/>
        <v>#DIV/0!</v>
      </c>
      <c r="Y50" s="8" t="e">
        <f t="shared" si="9"/>
        <v>#DIV/0!</v>
      </c>
      <c r="Z50" s="8" t="e">
        <f t="shared" si="9"/>
        <v>#DIV/0!</v>
      </c>
      <c r="AA50" s="8" t="e">
        <f t="shared" si="9"/>
        <v>#DIV/0!</v>
      </c>
      <c r="AB50" s="8" t="e">
        <f t="shared" si="9"/>
        <v>#DIV/0!</v>
      </c>
    </row>
    <row r="51" spans="1:28">
      <c r="A51" s="8" t="s">
        <v>22</v>
      </c>
      <c r="B51" s="8">
        <f t="shared" ref="B51:R51" si="10">MAX(B28:B49)</f>
        <v>0</v>
      </c>
      <c r="C51" s="8">
        <f t="shared" si="10"/>
        <v>0</v>
      </c>
      <c r="D51" s="8">
        <f t="shared" si="10"/>
        <v>147.84470550781253</v>
      </c>
      <c r="E51" s="8">
        <f t="shared" si="10"/>
        <v>225.3240223671875</v>
      </c>
      <c r="F51" s="8">
        <f t="shared" si="10"/>
        <v>166.39680268749996</v>
      </c>
      <c r="G51" s="8">
        <f t="shared" si="10"/>
        <v>110.84888579101562</v>
      </c>
      <c r="H51" s="8">
        <f t="shared" si="10"/>
        <v>122.94374400000001</v>
      </c>
      <c r="I51" s="8">
        <f t="shared" si="10"/>
        <v>167.6115945</v>
      </c>
      <c r="J51" s="8">
        <f t="shared" si="10"/>
        <v>222.24307200000001</v>
      </c>
      <c r="K51" s="8">
        <f t="shared" si="10"/>
        <v>279.04599999999999</v>
      </c>
      <c r="L51" s="8">
        <f t="shared" si="10"/>
        <v>367.76340700000003</v>
      </c>
      <c r="M51" s="8">
        <f t="shared" si="10"/>
        <v>399.44461274999998</v>
      </c>
      <c r="N51" s="8">
        <f t="shared" si="10"/>
        <v>507.49146168750002</v>
      </c>
      <c r="O51" s="8">
        <f t="shared" si="10"/>
        <v>629.4809745</v>
      </c>
      <c r="P51" s="8">
        <f t="shared" si="10"/>
        <v>708.35624999999993</v>
      </c>
      <c r="Q51" s="8">
        <f t="shared" si="10"/>
        <v>904.33184799999992</v>
      </c>
      <c r="R51" s="8">
        <f t="shared" si="10"/>
        <v>1018.58682</v>
      </c>
      <c r="S51" s="8">
        <f t="shared" ref="S51:AB51" si="11">MAX(S28:S47)</f>
        <v>0</v>
      </c>
      <c r="T51" s="8">
        <f t="shared" si="11"/>
        <v>0</v>
      </c>
      <c r="U51" s="8">
        <f t="shared" si="11"/>
        <v>0</v>
      </c>
      <c r="V51" s="8">
        <f t="shared" si="11"/>
        <v>0</v>
      </c>
      <c r="W51" s="8">
        <f t="shared" si="11"/>
        <v>0</v>
      </c>
      <c r="X51" s="8">
        <f t="shared" si="11"/>
        <v>0</v>
      </c>
      <c r="Y51" s="8">
        <f t="shared" si="11"/>
        <v>0</v>
      </c>
      <c r="Z51" s="8">
        <f t="shared" si="11"/>
        <v>0</v>
      </c>
      <c r="AA51" s="8">
        <f t="shared" si="11"/>
        <v>0</v>
      </c>
      <c r="AB51" s="8">
        <f t="shared" si="11"/>
        <v>0</v>
      </c>
    </row>
    <row r="52" spans="1:28">
      <c r="A52" s="8" t="s">
        <v>23</v>
      </c>
      <c r="B52" s="8">
        <f t="shared" ref="B52:R52" si="12">MIN(B28:B49)</f>
        <v>0</v>
      </c>
      <c r="C52" s="8">
        <f t="shared" si="12"/>
        <v>0</v>
      </c>
      <c r="D52" s="8">
        <f t="shared" si="12"/>
        <v>22.632534</v>
      </c>
      <c r="E52" s="8">
        <f t="shared" si="12"/>
        <v>34.187094500000001</v>
      </c>
      <c r="F52" s="8">
        <f t="shared" si="12"/>
        <v>35.014060000000001</v>
      </c>
      <c r="G52" s="8">
        <f t="shared" si="12"/>
        <v>40.259025000000001</v>
      </c>
      <c r="H52" s="8">
        <f t="shared" si="12"/>
        <v>43.413611253906247</v>
      </c>
      <c r="I52" s="8">
        <f t="shared" si="12"/>
        <v>49.635883608398444</v>
      </c>
      <c r="J52" s="8">
        <f t="shared" si="12"/>
        <v>36.548444337890629</v>
      </c>
      <c r="K52" s="8">
        <f t="shared" si="12"/>
        <v>56.854155250000005</v>
      </c>
      <c r="L52" s="8">
        <f t="shared" si="12"/>
        <v>87.255751000000004</v>
      </c>
      <c r="M52" s="8">
        <f t="shared" si="12"/>
        <v>135.9921765</v>
      </c>
      <c r="N52" s="8">
        <f t="shared" si="12"/>
        <v>160.084992</v>
      </c>
      <c r="O52" s="8">
        <f t="shared" si="12"/>
        <v>212.997187</v>
      </c>
      <c r="P52" s="8">
        <f t="shared" si="12"/>
        <v>247.1307405</v>
      </c>
      <c r="Q52" s="8">
        <f t="shared" si="12"/>
        <v>343.1460285</v>
      </c>
      <c r="R52" s="8">
        <f t="shared" si="12"/>
        <v>345.85516999999999</v>
      </c>
      <c r="S52" s="8">
        <f t="shared" ref="S52:AB52" si="13">MIN(S28:S47)</f>
        <v>0</v>
      </c>
      <c r="T52" s="8">
        <f t="shared" si="13"/>
        <v>0</v>
      </c>
      <c r="U52" s="8">
        <f t="shared" si="13"/>
        <v>0</v>
      </c>
      <c r="V52" s="8">
        <f t="shared" si="13"/>
        <v>0</v>
      </c>
      <c r="W52" s="8">
        <f t="shared" si="13"/>
        <v>0</v>
      </c>
      <c r="X52" s="8">
        <f t="shared" si="13"/>
        <v>0</v>
      </c>
      <c r="Y52" s="8">
        <f t="shared" si="13"/>
        <v>0</v>
      </c>
      <c r="Z52" s="8">
        <f t="shared" si="13"/>
        <v>0</v>
      </c>
      <c r="AA52" s="8">
        <f t="shared" si="13"/>
        <v>0</v>
      </c>
      <c r="AB52" s="8">
        <f t="shared" si="13"/>
        <v>0</v>
      </c>
    </row>
    <row r="53" spans="1:28">
      <c r="A53" s="8" t="s">
        <v>50</v>
      </c>
      <c r="D53" s="8">
        <f>_xlfn.STDEV.S(D28:D49)</f>
        <v>25.445785773718477</v>
      </c>
      <c r="E53" s="8">
        <f t="shared" ref="E53:R53" si="14">_xlfn.STDEV.S(E28:E49)</f>
        <v>40.547047993631367</v>
      </c>
      <c r="F53" s="8">
        <f t="shared" si="14"/>
        <v>30.814651734726613</v>
      </c>
      <c r="G53" s="8">
        <f t="shared" si="14"/>
        <v>21.946205666794491</v>
      </c>
      <c r="H53" s="8">
        <f t="shared" si="14"/>
        <v>21.878285747619934</v>
      </c>
      <c r="I53" s="8">
        <f t="shared" si="14"/>
        <v>32.161567915295116</v>
      </c>
      <c r="J53" s="8">
        <f t="shared" si="14"/>
        <v>47.273510564759633</v>
      </c>
      <c r="K53" s="8">
        <f t="shared" si="14"/>
        <v>60.464816279848257</v>
      </c>
      <c r="L53" s="8">
        <f t="shared" si="14"/>
        <v>70.210995736690322</v>
      </c>
      <c r="M53" s="8">
        <f t="shared" si="14"/>
        <v>77.691663305297936</v>
      </c>
      <c r="N53" s="8">
        <f t="shared" si="14"/>
        <v>107.05503562036191</v>
      </c>
      <c r="O53" s="8">
        <f t="shared" si="14"/>
        <v>131.99835857589724</v>
      </c>
      <c r="P53" s="8">
        <f t="shared" si="14"/>
        <v>159.59325030780317</v>
      </c>
      <c r="Q53" s="8">
        <f t="shared" si="14"/>
        <v>207.48118341350812</v>
      </c>
      <c r="R53" s="8">
        <f t="shared" si="14"/>
        <v>229.33103309735776</v>
      </c>
    </row>
    <row r="54" spans="1:28">
      <c r="A54" s="8" t="s">
        <v>52</v>
      </c>
      <c r="D54" s="8">
        <f>D53*2</f>
        <v>50.891571547436953</v>
      </c>
      <c r="E54" s="8">
        <f t="shared" ref="E54:R54" si="15">E53*2</f>
        <v>81.094095987262733</v>
      </c>
      <c r="F54" s="8">
        <f t="shared" si="15"/>
        <v>61.629303469453227</v>
      </c>
      <c r="G54" s="8">
        <f t="shared" si="15"/>
        <v>43.892411333588981</v>
      </c>
      <c r="H54" s="8">
        <f t="shared" si="15"/>
        <v>43.756571495239868</v>
      </c>
      <c r="I54" s="8">
        <f t="shared" si="15"/>
        <v>64.323135830590232</v>
      </c>
      <c r="J54" s="8">
        <f t="shared" si="15"/>
        <v>94.547021129519266</v>
      </c>
      <c r="K54" s="8">
        <f t="shared" si="15"/>
        <v>120.92963255969651</v>
      </c>
      <c r="L54" s="8">
        <f t="shared" si="15"/>
        <v>140.42199147338064</v>
      </c>
      <c r="M54" s="8">
        <f t="shared" si="15"/>
        <v>155.38332661059587</v>
      </c>
      <c r="N54" s="8">
        <f t="shared" si="15"/>
        <v>214.11007124072381</v>
      </c>
      <c r="O54" s="8">
        <f t="shared" si="15"/>
        <v>263.99671715179448</v>
      </c>
      <c r="P54" s="8">
        <f t="shared" si="15"/>
        <v>319.18650061560635</v>
      </c>
      <c r="Q54" s="8">
        <f t="shared" si="15"/>
        <v>414.96236682701624</v>
      </c>
      <c r="R54" s="8">
        <f t="shared" si="15"/>
        <v>458.66206619471552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54D9-F3D0-41A3-9DB8-C9143B161A1B}">
  <dimension ref="A1:AB54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R53" sqref="B53:R53"/>
    </sheetView>
  </sheetViews>
  <sheetFormatPr defaultRowHeight="18.75"/>
  <sheetData>
    <row r="1" spans="1:28">
      <c r="A1" t="s">
        <v>0</v>
      </c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  <c r="M1">
        <v>5.5</v>
      </c>
      <c r="N1">
        <v>6</v>
      </c>
      <c r="O1">
        <v>6.5</v>
      </c>
      <c r="P1">
        <v>7</v>
      </c>
      <c r="Q1">
        <v>7.5</v>
      </c>
      <c r="R1">
        <v>8</v>
      </c>
      <c r="S1">
        <v>8.5</v>
      </c>
      <c r="T1">
        <v>9</v>
      </c>
      <c r="U1">
        <v>9.5</v>
      </c>
      <c r="V1">
        <v>10</v>
      </c>
      <c r="W1">
        <v>10.5</v>
      </c>
      <c r="X1">
        <v>11</v>
      </c>
      <c r="Y1">
        <v>11.5</v>
      </c>
      <c r="Z1">
        <v>12</v>
      </c>
      <c r="AA1">
        <v>12.5</v>
      </c>
      <c r="AB1">
        <v>13</v>
      </c>
    </row>
    <row r="2" spans="1:28" s="1" customFormat="1">
      <c r="A2" s="3" t="s">
        <v>1</v>
      </c>
      <c r="B2" s="1">
        <v>21.8</v>
      </c>
      <c r="C2" s="1">
        <v>23.3</v>
      </c>
      <c r="D2" s="1">
        <v>23.9</v>
      </c>
      <c r="E2" s="1">
        <v>24.2</v>
      </c>
      <c r="F2" s="1">
        <v>24.9</v>
      </c>
      <c r="G2" s="1">
        <v>25.1</v>
      </c>
      <c r="H2" s="1">
        <v>26.3</v>
      </c>
      <c r="I2" s="1">
        <v>26.8</v>
      </c>
      <c r="J2" s="1">
        <v>27.3</v>
      </c>
      <c r="K2" s="1">
        <v>27.6</v>
      </c>
      <c r="L2" s="1">
        <v>27.2</v>
      </c>
      <c r="M2" s="1">
        <v>28.5</v>
      </c>
      <c r="N2" s="1">
        <v>28.2</v>
      </c>
      <c r="O2" s="1">
        <v>28.9</v>
      </c>
      <c r="P2" s="1">
        <v>28.8</v>
      </c>
      <c r="Q2" s="1">
        <v>30</v>
      </c>
      <c r="R2" s="1">
        <v>30.1</v>
      </c>
      <c r="T2" s="1">
        <v>0.32</v>
      </c>
    </row>
    <row r="3" spans="1:28" s="1" customFormat="1">
      <c r="A3" s="3" t="s">
        <v>2</v>
      </c>
      <c r="B3" s="1">
        <v>22.6</v>
      </c>
      <c r="C3" s="1">
        <v>23.3</v>
      </c>
      <c r="D3" s="1">
        <v>23.1</v>
      </c>
      <c r="E3" s="1">
        <v>23.6</v>
      </c>
      <c r="F3" s="1">
        <v>23.5</v>
      </c>
      <c r="G3" s="1">
        <v>23.6</v>
      </c>
      <c r="H3" s="1">
        <v>23.9</v>
      </c>
      <c r="I3" s="1">
        <v>24.3</v>
      </c>
      <c r="J3" s="1">
        <v>24.9</v>
      </c>
      <c r="K3" s="1">
        <v>25.1</v>
      </c>
      <c r="L3" s="1">
        <v>24.9</v>
      </c>
      <c r="M3" s="1">
        <v>26.4</v>
      </c>
      <c r="N3" s="1">
        <v>25.7</v>
      </c>
      <c r="O3" s="1">
        <v>26.3</v>
      </c>
      <c r="P3" s="1">
        <v>26.2</v>
      </c>
      <c r="Q3" s="1">
        <v>26.5</v>
      </c>
      <c r="R3" s="1">
        <v>27.2</v>
      </c>
      <c r="T3" s="1">
        <v>0.34</v>
      </c>
    </row>
    <row r="4" spans="1:28" s="1" customFormat="1">
      <c r="A4" s="3" t="s">
        <v>3</v>
      </c>
      <c r="B4" s="1">
        <v>19.7</v>
      </c>
      <c r="C4" s="1">
        <v>21.1</v>
      </c>
      <c r="D4" s="1">
        <v>21.2</v>
      </c>
      <c r="E4" s="1">
        <v>22</v>
      </c>
      <c r="F4" s="1">
        <v>22.6</v>
      </c>
      <c r="G4" s="1">
        <v>22.7</v>
      </c>
      <c r="H4" s="1">
        <v>22.9</v>
      </c>
      <c r="I4" s="1">
        <v>23.7</v>
      </c>
      <c r="J4" s="1">
        <v>24.1</v>
      </c>
      <c r="K4" s="1">
        <v>25.5</v>
      </c>
      <c r="L4" s="1">
        <v>24.4</v>
      </c>
      <c r="M4" s="1">
        <v>25.3</v>
      </c>
      <c r="N4" s="1">
        <v>25.1</v>
      </c>
      <c r="O4" s="1">
        <v>25.6</v>
      </c>
      <c r="P4" s="1">
        <v>25.6</v>
      </c>
      <c r="Q4" s="1">
        <v>26.3</v>
      </c>
      <c r="R4" s="1">
        <v>26.5</v>
      </c>
      <c r="T4" s="1">
        <v>0.33</v>
      </c>
    </row>
    <row r="5" spans="1:28" s="1" customFormat="1">
      <c r="A5" s="3" t="s">
        <v>4</v>
      </c>
      <c r="B5" s="1">
        <v>23.5</v>
      </c>
      <c r="C5" s="1">
        <v>23.9</v>
      </c>
      <c r="D5" s="1">
        <v>24.5</v>
      </c>
      <c r="E5" s="1">
        <v>25.2</v>
      </c>
      <c r="F5" s="1">
        <v>25.4</v>
      </c>
      <c r="G5" s="1">
        <v>25.7</v>
      </c>
      <c r="H5" s="1">
        <v>26.7</v>
      </c>
      <c r="I5" s="1">
        <v>27</v>
      </c>
      <c r="J5" s="1">
        <v>27.3</v>
      </c>
      <c r="K5" s="1">
        <v>27.4</v>
      </c>
      <c r="L5" s="1">
        <v>27.9</v>
      </c>
      <c r="M5" s="1">
        <v>28.8</v>
      </c>
      <c r="N5" s="1">
        <v>28.2</v>
      </c>
      <c r="O5" s="1">
        <v>29.2</v>
      </c>
      <c r="P5" s="1">
        <v>29.3</v>
      </c>
      <c r="Q5" s="1">
        <v>30</v>
      </c>
      <c r="R5" s="1">
        <v>30.1</v>
      </c>
      <c r="T5" s="1">
        <v>0.4</v>
      </c>
    </row>
    <row r="6" spans="1:28" s="1" customFormat="1">
      <c r="A6" s="4" t="s">
        <v>5</v>
      </c>
      <c r="B6" s="1">
        <v>22.8</v>
      </c>
      <c r="C6" s="1">
        <v>23.1</v>
      </c>
      <c r="D6" s="1">
        <v>22.8</v>
      </c>
      <c r="E6" s="1">
        <v>23.3</v>
      </c>
      <c r="F6" s="1">
        <v>24</v>
      </c>
      <c r="G6" s="1">
        <v>24.1</v>
      </c>
      <c r="H6" s="1">
        <v>24.3</v>
      </c>
      <c r="I6" s="1">
        <v>24.7</v>
      </c>
      <c r="J6" s="1">
        <v>25</v>
      </c>
      <c r="K6" s="1">
        <v>26.1</v>
      </c>
      <c r="L6" s="1">
        <v>26.6</v>
      </c>
      <c r="M6" s="1">
        <v>26.7</v>
      </c>
      <c r="N6" s="1">
        <v>27.6</v>
      </c>
      <c r="O6" s="1">
        <v>27.6</v>
      </c>
      <c r="P6" s="1">
        <v>27.8</v>
      </c>
      <c r="Q6" s="1">
        <v>27.4</v>
      </c>
      <c r="R6" s="1">
        <v>27.7</v>
      </c>
      <c r="T6" s="1">
        <v>0.42</v>
      </c>
    </row>
    <row r="7" spans="1:28" s="1" customFormat="1">
      <c r="A7" s="4" t="s">
        <v>6</v>
      </c>
      <c r="B7" s="1">
        <v>22.5</v>
      </c>
      <c r="C7" s="1">
        <v>22.7</v>
      </c>
      <c r="D7" s="1">
        <v>23.1</v>
      </c>
      <c r="E7" s="1">
        <v>23.2</v>
      </c>
      <c r="F7" s="1">
        <v>24.5</v>
      </c>
      <c r="G7" s="1">
        <v>24.7</v>
      </c>
      <c r="H7" s="1">
        <v>25.3</v>
      </c>
      <c r="I7" s="1">
        <v>26</v>
      </c>
      <c r="J7" s="1">
        <v>26.8</v>
      </c>
      <c r="K7" s="1">
        <v>27.7</v>
      </c>
      <c r="L7" s="1">
        <v>29.6</v>
      </c>
      <c r="M7" s="1">
        <v>28.4</v>
      </c>
      <c r="N7" s="1">
        <v>29.4</v>
      </c>
      <c r="O7" s="1">
        <v>29.1</v>
      </c>
      <c r="P7" s="1">
        <v>30</v>
      </c>
      <c r="Q7" s="1">
        <v>29.8</v>
      </c>
      <c r="R7" s="1">
        <v>30.7</v>
      </c>
      <c r="T7" s="1">
        <v>1.22</v>
      </c>
    </row>
    <row r="8" spans="1:28" s="1" customFormat="1">
      <c r="A8" s="4" t="s">
        <v>7</v>
      </c>
      <c r="B8" s="1">
        <v>24.8</v>
      </c>
      <c r="C8" s="1">
        <v>25.3</v>
      </c>
      <c r="D8" s="1">
        <v>25.3</v>
      </c>
      <c r="E8" s="1">
        <v>25.7</v>
      </c>
      <c r="F8" s="1">
        <v>26</v>
      </c>
      <c r="G8" s="1">
        <v>26.6</v>
      </c>
      <c r="H8" s="1">
        <v>27.2</v>
      </c>
      <c r="I8" s="1">
        <v>28</v>
      </c>
      <c r="J8" s="1">
        <v>28.7</v>
      </c>
      <c r="K8" s="1">
        <v>28.7</v>
      </c>
      <c r="L8" s="1">
        <v>29.4</v>
      </c>
      <c r="M8" s="1">
        <v>29</v>
      </c>
      <c r="N8" s="1">
        <v>29.5</v>
      </c>
      <c r="O8" s="1">
        <v>28.9</v>
      </c>
      <c r="P8" s="1">
        <v>29.5</v>
      </c>
      <c r="Q8" s="1">
        <v>28.7</v>
      </c>
      <c r="R8" s="1">
        <v>29.4</v>
      </c>
      <c r="T8" s="1">
        <v>0.34</v>
      </c>
    </row>
    <row r="9" spans="1:28" s="1" customFormat="1">
      <c r="A9" s="4" t="s">
        <v>8</v>
      </c>
      <c r="B9" s="1">
        <v>23.3</v>
      </c>
      <c r="C9" s="1">
        <v>23.7</v>
      </c>
      <c r="D9" s="1">
        <v>24.2</v>
      </c>
      <c r="E9" s="1">
        <v>24.4</v>
      </c>
      <c r="F9" s="1">
        <v>24.6</v>
      </c>
      <c r="G9" s="1">
        <v>25.6</v>
      </c>
      <c r="H9" s="1">
        <v>26</v>
      </c>
      <c r="I9" s="1">
        <v>26.3</v>
      </c>
      <c r="J9" s="1">
        <v>26.6</v>
      </c>
      <c r="K9" s="1">
        <v>28.1</v>
      </c>
      <c r="L9" s="1">
        <v>28.7</v>
      </c>
      <c r="M9" s="1">
        <v>28.2</v>
      </c>
      <c r="N9" s="1">
        <v>29.1</v>
      </c>
      <c r="O9" s="1">
        <v>29.3</v>
      </c>
      <c r="P9" s="1">
        <v>29.5</v>
      </c>
      <c r="Q9" s="1">
        <v>29.8</v>
      </c>
      <c r="R9" s="1">
        <v>30.7</v>
      </c>
      <c r="T9" s="1">
        <v>0.78</v>
      </c>
    </row>
    <row r="10" spans="1:28" s="1" customFormat="1">
      <c r="A10" s="5" t="s">
        <v>9</v>
      </c>
      <c r="B10" s="1">
        <v>21.4</v>
      </c>
      <c r="C10" s="1">
        <v>21.6</v>
      </c>
      <c r="D10" s="1">
        <v>21.8</v>
      </c>
      <c r="E10" s="1">
        <v>23.5</v>
      </c>
      <c r="F10" s="1">
        <v>23.7</v>
      </c>
      <c r="G10" s="1">
        <v>24.2</v>
      </c>
      <c r="H10" s="1">
        <v>24.3</v>
      </c>
      <c r="I10" s="1">
        <v>24.8</v>
      </c>
      <c r="J10" s="1">
        <v>25</v>
      </c>
      <c r="K10" s="1">
        <v>25.7</v>
      </c>
      <c r="L10" s="1">
        <v>26.1</v>
      </c>
      <c r="M10" s="1">
        <v>26.2</v>
      </c>
      <c r="N10" s="1">
        <v>26.4</v>
      </c>
      <c r="O10" s="1">
        <v>26.6</v>
      </c>
      <c r="P10" s="1">
        <v>27</v>
      </c>
      <c r="Q10" s="1">
        <v>27.3</v>
      </c>
      <c r="R10" s="1">
        <v>27.2</v>
      </c>
      <c r="T10" s="1">
        <v>0.36</v>
      </c>
    </row>
    <row r="11" spans="1:28" s="1" customFormat="1">
      <c r="A11" s="5" t="s">
        <v>10</v>
      </c>
      <c r="B11" s="1">
        <v>21.2</v>
      </c>
      <c r="C11" s="1">
        <v>21.8</v>
      </c>
      <c r="D11" s="1">
        <v>22.9</v>
      </c>
      <c r="E11" s="1">
        <v>23.9</v>
      </c>
      <c r="F11" s="1">
        <v>23.8</v>
      </c>
      <c r="G11" s="1">
        <v>23.7</v>
      </c>
      <c r="H11" s="1">
        <v>25</v>
      </c>
      <c r="I11" s="1">
        <v>25.6</v>
      </c>
      <c r="J11" s="1">
        <v>25.8</v>
      </c>
      <c r="K11" s="1">
        <v>26.7</v>
      </c>
      <c r="L11" s="1">
        <v>26.8</v>
      </c>
      <c r="M11" s="1">
        <v>27</v>
      </c>
      <c r="N11" s="1">
        <v>27.1</v>
      </c>
      <c r="O11" s="1">
        <v>27.7</v>
      </c>
      <c r="P11" s="1">
        <v>28</v>
      </c>
      <c r="Q11" s="1">
        <v>28.3</v>
      </c>
      <c r="R11" s="1">
        <v>29.2</v>
      </c>
      <c r="T11" s="1">
        <v>1.26</v>
      </c>
    </row>
    <row r="12" spans="1:28" s="1" customFormat="1">
      <c r="A12" s="5" t="s">
        <v>25</v>
      </c>
      <c r="B12" s="1">
        <v>21.8</v>
      </c>
      <c r="C12" s="1">
        <v>22</v>
      </c>
      <c r="D12" s="1">
        <v>22.7</v>
      </c>
      <c r="E12" s="1">
        <v>22.4</v>
      </c>
      <c r="F12" s="1">
        <v>23</v>
      </c>
      <c r="G12" s="1">
        <v>23.8</v>
      </c>
      <c r="H12" s="1">
        <v>24</v>
      </c>
      <c r="I12" s="1">
        <v>24.3</v>
      </c>
      <c r="J12" s="1">
        <v>24.6</v>
      </c>
      <c r="K12" s="1">
        <v>24.8</v>
      </c>
      <c r="L12" s="1">
        <v>24.9</v>
      </c>
      <c r="M12" s="1">
        <v>25.1</v>
      </c>
      <c r="N12" s="1">
        <v>25.4</v>
      </c>
      <c r="O12" s="1">
        <v>25.8</v>
      </c>
      <c r="P12" s="1">
        <v>26</v>
      </c>
      <c r="Q12" s="1">
        <v>26.1</v>
      </c>
      <c r="R12" s="1">
        <v>26.5</v>
      </c>
      <c r="T12" s="1">
        <v>0.59</v>
      </c>
    </row>
    <row r="13" spans="1:28" s="1" customFormat="1">
      <c r="A13" s="5" t="s">
        <v>26</v>
      </c>
      <c r="B13" s="1">
        <v>22.4</v>
      </c>
      <c r="C13" s="1">
        <v>22.8</v>
      </c>
      <c r="D13" s="1">
        <v>23.1</v>
      </c>
      <c r="E13" s="1">
        <v>23.2</v>
      </c>
      <c r="F13" s="1">
        <v>23.2</v>
      </c>
      <c r="G13" s="1">
        <v>24.4</v>
      </c>
      <c r="H13" s="1">
        <v>24.2</v>
      </c>
      <c r="I13" s="1">
        <v>24.8</v>
      </c>
      <c r="J13" s="1">
        <v>25</v>
      </c>
      <c r="K13" s="1">
        <v>25.8</v>
      </c>
      <c r="L13" s="1">
        <v>26.1</v>
      </c>
      <c r="M13" s="1">
        <v>26.2</v>
      </c>
      <c r="N13" s="1">
        <v>26.5</v>
      </c>
      <c r="O13" s="1">
        <v>27.4</v>
      </c>
      <c r="P13" s="1">
        <v>28</v>
      </c>
      <c r="Q13" s="1">
        <v>28.4</v>
      </c>
      <c r="R13" s="1">
        <v>29</v>
      </c>
      <c r="T13" s="1">
        <v>0.56999999999999995</v>
      </c>
    </row>
    <row r="14" spans="1:28" s="1" customFormat="1">
      <c r="A14" s="6" t="s">
        <v>27</v>
      </c>
      <c r="B14" s="1">
        <v>26</v>
      </c>
      <c r="C14" s="1">
        <v>26.3</v>
      </c>
      <c r="D14" s="1">
        <v>27</v>
      </c>
      <c r="E14" s="1">
        <v>27.8</v>
      </c>
      <c r="F14" s="1">
        <v>28.4</v>
      </c>
      <c r="G14" s="1">
        <v>28.2</v>
      </c>
      <c r="H14" s="1">
        <v>28.6</v>
      </c>
      <c r="I14" s="1">
        <v>29.2</v>
      </c>
      <c r="J14" s="1">
        <v>29.3</v>
      </c>
      <c r="K14" s="1">
        <v>29.7</v>
      </c>
      <c r="L14" s="1">
        <v>30.4</v>
      </c>
      <c r="M14" s="1">
        <v>30.3</v>
      </c>
      <c r="N14" s="1">
        <v>30.8</v>
      </c>
      <c r="O14" s="1">
        <v>32</v>
      </c>
      <c r="P14" s="1">
        <v>31.8</v>
      </c>
      <c r="Q14" s="1">
        <v>32.1</v>
      </c>
      <c r="R14" s="1">
        <v>32.4</v>
      </c>
      <c r="T14" s="1">
        <v>0.55000000000000004</v>
      </c>
    </row>
    <row r="15" spans="1:28" s="1" customFormat="1">
      <c r="A15" s="6" t="s">
        <v>28</v>
      </c>
      <c r="B15" s="1">
        <v>24.4</v>
      </c>
      <c r="C15" s="1">
        <v>25</v>
      </c>
      <c r="D15" s="1">
        <v>25.4</v>
      </c>
      <c r="E15" s="1">
        <v>26.1</v>
      </c>
      <c r="F15" s="1">
        <v>26.3</v>
      </c>
      <c r="G15" s="1">
        <v>26.3</v>
      </c>
      <c r="H15" s="1">
        <v>26.8</v>
      </c>
      <c r="I15" s="1">
        <v>27</v>
      </c>
      <c r="J15" s="1">
        <v>27.4</v>
      </c>
      <c r="K15" s="1">
        <v>27.6</v>
      </c>
      <c r="L15" s="1">
        <v>28.1</v>
      </c>
      <c r="M15" s="1">
        <v>28.3</v>
      </c>
      <c r="N15" s="1">
        <v>28.9</v>
      </c>
      <c r="O15" s="1">
        <v>29.1</v>
      </c>
      <c r="P15" s="1">
        <v>29.1</v>
      </c>
      <c r="Q15" s="1">
        <v>29.1</v>
      </c>
      <c r="R15" s="1">
        <v>29.3</v>
      </c>
      <c r="T15" s="1">
        <v>0.57999999999999996</v>
      </c>
    </row>
    <row r="16" spans="1:28" s="1" customFormat="1">
      <c r="A16" s="6" t="s">
        <v>29</v>
      </c>
      <c r="B16" s="1">
        <v>26.8</v>
      </c>
      <c r="C16" s="1">
        <v>27.5</v>
      </c>
      <c r="D16" s="1">
        <v>28.1</v>
      </c>
      <c r="E16" s="1">
        <v>28.8</v>
      </c>
      <c r="F16" s="1">
        <v>29.2</v>
      </c>
      <c r="G16" s="1">
        <v>29.2</v>
      </c>
      <c r="H16" s="1">
        <v>29.5</v>
      </c>
      <c r="I16" s="1">
        <v>29.9</v>
      </c>
      <c r="J16" s="1">
        <v>29.8</v>
      </c>
      <c r="K16" s="1">
        <v>30</v>
      </c>
      <c r="L16" s="1">
        <v>30.6</v>
      </c>
      <c r="M16" s="1">
        <v>30.6</v>
      </c>
      <c r="N16" s="1">
        <v>31.1</v>
      </c>
      <c r="O16" s="1">
        <v>31.5</v>
      </c>
      <c r="P16" s="1">
        <v>31.7</v>
      </c>
      <c r="Q16" s="1">
        <v>32</v>
      </c>
      <c r="R16" s="1">
        <v>31.8</v>
      </c>
      <c r="T16" s="1">
        <v>0.64</v>
      </c>
    </row>
    <row r="17" spans="1:28" s="1" customFormat="1">
      <c r="A17" s="6" t="s">
        <v>30</v>
      </c>
      <c r="B17" s="1">
        <v>25</v>
      </c>
      <c r="C17" s="1">
        <v>25.5</v>
      </c>
      <c r="D17" s="1">
        <v>26.1</v>
      </c>
      <c r="E17" s="1">
        <v>26.8</v>
      </c>
      <c r="F17" s="1">
        <v>27</v>
      </c>
      <c r="G17" s="1">
        <v>27</v>
      </c>
      <c r="H17" s="1">
        <v>27.5</v>
      </c>
      <c r="I17" s="1">
        <v>27.8</v>
      </c>
      <c r="J17" s="1">
        <v>28</v>
      </c>
      <c r="K17" s="1">
        <v>28.6</v>
      </c>
      <c r="L17" s="1">
        <v>28.9</v>
      </c>
      <c r="M17" s="1">
        <v>29.3</v>
      </c>
      <c r="N17" s="1">
        <v>29.7</v>
      </c>
      <c r="O17" s="1">
        <v>30.2</v>
      </c>
      <c r="P17" s="1">
        <v>30.3</v>
      </c>
      <c r="Q17" s="1">
        <v>30.4</v>
      </c>
      <c r="R17" s="1">
        <v>29.1</v>
      </c>
      <c r="T17" s="1">
        <v>0.69</v>
      </c>
    </row>
    <row r="18" spans="1:28" s="1" customFormat="1">
      <c r="A18" s="7" t="s">
        <v>37</v>
      </c>
      <c r="B18" s="1">
        <v>21.4</v>
      </c>
      <c r="C18" s="1">
        <v>22.2</v>
      </c>
      <c r="D18" s="1">
        <v>22.6</v>
      </c>
      <c r="E18" s="1">
        <v>22.7</v>
      </c>
      <c r="F18" s="1">
        <v>23.4</v>
      </c>
      <c r="G18" s="1">
        <v>23.8</v>
      </c>
      <c r="H18" s="1">
        <v>24.1</v>
      </c>
      <c r="I18" s="1">
        <v>24.7</v>
      </c>
      <c r="J18" s="1">
        <v>25</v>
      </c>
      <c r="K18" s="1">
        <v>25.6</v>
      </c>
      <c r="L18" s="1">
        <v>26.1</v>
      </c>
      <c r="M18" s="1">
        <v>26.2</v>
      </c>
      <c r="N18" s="1">
        <v>26.9</v>
      </c>
      <c r="O18" s="1">
        <v>27</v>
      </c>
      <c r="P18" s="1">
        <v>27.3</v>
      </c>
      <c r="Q18" s="1">
        <v>27.2</v>
      </c>
      <c r="R18" s="1">
        <v>27.5</v>
      </c>
      <c r="T18" s="1">
        <v>0.27</v>
      </c>
    </row>
    <row r="19" spans="1:28" s="1" customFormat="1">
      <c r="A19" s="7" t="s">
        <v>38</v>
      </c>
      <c r="B19" s="1">
        <v>22.7</v>
      </c>
      <c r="C19" s="1">
        <v>23.2</v>
      </c>
      <c r="D19" s="1">
        <v>23.8</v>
      </c>
      <c r="E19" s="1">
        <v>23.7</v>
      </c>
      <c r="F19" s="1">
        <v>25.2</v>
      </c>
      <c r="G19" s="1">
        <v>25.3</v>
      </c>
      <c r="H19" s="1">
        <v>26</v>
      </c>
      <c r="I19" s="1">
        <v>26.7</v>
      </c>
      <c r="J19" s="1">
        <v>26.8</v>
      </c>
      <c r="K19" s="1">
        <v>27.9</v>
      </c>
      <c r="L19" s="1">
        <v>27.9</v>
      </c>
      <c r="M19" s="1">
        <v>27.9</v>
      </c>
      <c r="N19" s="1">
        <v>28.4</v>
      </c>
      <c r="O19" s="1">
        <v>29.2</v>
      </c>
      <c r="P19" s="1">
        <v>29.3</v>
      </c>
      <c r="Q19" s="1">
        <v>29.5</v>
      </c>
      <c r="R19" s="1">
        <v>29.3</v>
      </c>
      <c r="T19" s="1">
        <v>0.53</v>
      </c>
    </row>
    <row r="20" spans="1:28" s="1" customFormat="1">
      <c r="A20" s="7" t="s">
        <v>39</v>
      </c>
      <c r="B20" s="1">
        <v>22.8</v>
      </c>
      <c r="C20" s="1">
        <v>23.4</v>
      </c>
      <c r="D20" s="1">
        <v>24</v>
      </c>
      <c r="E20" s="1">
        <v>23.5</v>
      </c>
      <c r="F20" s="1">
        <v>24.1</v>
      </c>
      <c r="G20" s="1">
        <v>24.5</v>
      </c>
      <c r="H20" s="1">
        <v>24.6</v>
      </c>
      <c r="I20" s="1">
        <v>24.8</v>
      </c>
      <c r="J20" s="1">
        <v>24.8</v>
      </c>
      <c r="K20" s="1">
        <v>25.2</v>
      </c>
      <c r="L20" s="1">
        <v>25.7</v>
      </c>
      <c r="M20" s="1">
        <v>26</v>
      </c>
      <c r="N20" s="1">
        <v>26.8</v>
      </c>
      <c r="O20" s="1">
        <v>26.6</v>
      </c>
      <c r="P20" s="1">
        <v>26.8</v>
      </c>
      <c r="Q20" s="1">
        <v>27</v>
      </c>
      <c r="R20" s="1">
        <v>26.8</v>
      </c>
      <c r="T20" s="1">
        <v>0.18</v>
      </c>
    </row>
    <row r="21" spans="1:28" s="1" customFormat="1">
      <c r="A21" s="7" t="s">
        <v>40</v>
      </c>
      <c r="B21" s="1">
        <v>25</v>
      </c>
      <c r="C21" s="1">
        <v>25.5</v>
      </c>
      <c r="D21" s="1">
        <v>26.1</v>
      </c>
      <c r="E21" s="1">
        <v>26.7</v>
      </c>
      <c r="F21" s="1">
        <v>27.3</v>
      </c>
      <c r="G21" s="1">
        <v>27.4</v>
      </c>
      <c r="H21" s="1">
        <v>28</v>
      </c>
      <c r="I21" s="1">
        <v>28.4</v>
      </c>
      <c r="J21" s="1">
        <v>28.6</v>
      </c>
      <c r="K21" s="1">
        <v>29.4</v>
      </c>
      <c r="L21" s="1">
        <v>29.5</v>
      </c>
      <c r="M21" s="1">
        <v>30</v>
      </c>
      <c r="N21" s="1">
        <v>30.7</v>
      </c>
      <c r="O21" s="1">
        <v>31.6</v>
      </c>
      <c r="P21" s="1">
        <v>31.8</v>
      </c>
      <c r="Q21" s="1">
        <v>32.200000000000003</v>
      </c>
      <c r="R21" s="1">
        <v>32</v>
      </c>
      <c r="T21" s="1">
        <v>0.81</v>
      </c>
    </row>
    <row r="22" spans="1:28" s="1" customFormat="1">
      <c r="A22" s="7" t="s">
        <v>45</v>
      </c>
      <c r="B22" s="1">
        <v>23</v>
      </c>
      <c r="C22" s="1">
        <v>23.2</v>
      </c>
      <c r="D22" s="1">
        <v>23.7</v>
      </c>
      <c r="E22" s="1">
        <v>23.1</v>
      </c>
      <c r="F22" s="1">
        <v>23.5</v>
      </c>
      <c r="G22" s="1">
        <v>24.1</v>
      </c>
      <c r="H22" s="1">
        <v>24.7</v>
      </c>
      <c r="I22" s="1">
        <v>25.3</v>
      </c>
      <c r="J22" s="1">
        <v>25.3</v>
      </c>
      <c r="K22" s="1">
        <v>26.2</v>
      </c>
      <c r="L22" s="1">
        <v>26.8</v>
      </c>
      <c r="M22" s="1">
        <v>26.2</v>
      </c>
      <c r="N22" s="1">
        <v>27</v>
      </c>
      <c r="O22" s="1">
        <v>26.5</v>
      </c>
      <c r="P22" s="1">
        <v>26.8</v>
      </c>
      <c r="Q22" s="1">
        <v>26.9</v>
      </c>
      <c r="R22" s="1">
        <v>26.8</v>
      </c>
      <c r="T22" s="1">
        <v>0.25</v>
      </c>
    </row>
    <row r="23" spans="1:28" s="1" customFormat="1">
      <c r="A23" s="1" t="s">
        <v>21</v>
      </c>
      <c r="B23" s="1">
        <f t="shared" ref="B23:R23" si="0">AVERAGE(B2:B22)</f>
        <v>23.090476190476188</v>
      </c>
      <c r="C23" s="1">
        <f t="shared" si="0"/>
        <v>23.638095238095236</v>
      </c>
      <c r="D23" s="1">
        <f t="shared" si="0"/>
        <v>24.06666666666667</v>
      </c>
      <c r="E23" s="1">
        <f t="shared" si="0"/>
        <v>24.466666666666665</v>
      </c>
      <c r="F23" s="1">
        <f t="shared" si="0"/>
        <v>24.93333333333333</v>
      </c>
      <c r="G23" s="1">
        <f t="shared" si="0"/>
        <v>25.238095238095234</v>
      </c>
      <c r="H23" s="1">
        <f t="shared" si="0"/>
        <v>25.709523809523812</v>
      </c>
      <c r="I23" s="1">
        <f t="shared" si="0"/>
        <v>26.195238095238096</v>
      </c>
      <c r="J23" s="1">
        <f t="shared" si="0"/>
        <v>26.480952380952381</v>
      </c>
      <c r="K23" s="1">
        <f t="shared" si="0"/>
        <v>27.114285714285717</v>
      </c>
      <c r="L23" s="1">
        <f t="shared" si="0"/>
        <v>27.457142857142852</v>
      </c>
      <c r="M23" s="1">
        <f t="shared" si="0"/>
        <v>27.647619047619052</v>
      </c>
      <c r="N23" s="1">
        <f t="shared" si="0"/>
        <v>28.023809523809526</v>
      </c>
      <c r="O23" s="1">
        <f t="shared" si="0"/>
        <v>28.385714285714286</v>
      </c>
      <c r="P23" s="1">
        <f t="shared" si="0"/>
        <v>28.599999999999994</v>
      </c>
      <c r="Q23" s="1">
        <f t="shared" si="0"/>
        <v>28.809523809523814</v>
      </c>
      <c r="R23" s="1">
        <f t="shared" si="0"/>
        <v>29.014285714285705</v>
      </c>
      <c r="S23" s="1" t="e">
        <f t="shared" ref="S23:AB23" si="1">AVERAGE(S2:S21)</f>
        <v>#DIV/0!</v>
      </c>
      <c r="T23" s="1">
        <f t="shared" si="1"/>
        <v>0.55899999999999994</v>
      </c>
      <c r="U23" s="1" t="e">
        <f t="shared" si="1"/>
        <v>#DIV/0!</v>
      </c>
      <c r="V23" s="1" t="e">
        <f t="shared" si="1"/>
        <v>#DIV/0!</v>
      </c>
      <c r="W23" s="1" t="e">
        <f t="shared" si="1"/>
        <v>#DIV/0!</v>
      </c>
      <c r="X23" s="1" t="e">
        <f t="shared" si="1"/>
        <v>#DIV/0!</v>
      </c>
      <c r="Y23" s="1" t="e">
        <f t="shared" si="1"/>
        <v>#DIV/0!</v>
      </c>
      <c r="Z23" s="1" t="e">
        <f t="shared" si="1"/>
        <v>#DIV/0!</v>
      </c>
      <c r="AA23" s="1" t="e">
        <f t="shared" si="1"/>
        <v>#DIV/0!</v>
      </c>
      <c r="AB23" s="1" t="e">
        <f t="shared" si="1"/>
        <v>#DIV/0!</v>
      </c>
    </row>
    <row r="24" spans="1:28" s="1" customFormat="1">
      <c r="A24" s="1" t="s">
        <v>22</v>
      </c>
      <c r="B24" s="1">
        <f t="shared" ref="B24:R24" si="2">MAX(B2:B22)</f>
        <v>26.8</v>
      </c>
      <c r="C24" s="1">
        <f t="shared" si="2"/>
        <v>27.5</v>
      </c>
      <c r="D24" s="1">
        <f t="shared" si="2"/>
        <v>28.1</v>
      </c>
      <c r="E24" s="1">
        <f t="shared" si="2"/>
        <v>28.8</v>
      </c>
      <c r="F24" s="1">
        <f t="shared" si="2"/>
        <v>29.2</v>
      </c>
      <c r="G24" s="1">
        <f t="shared" si="2"/>
        <v>29.2</v>
      </c>
      <c r="H24" s="1">
        <f t="shared" si="2"/>
        <v>29.5</v>
      </c>
      <c r="I24" s="1">
        <f t="shared" si="2"/>
        <v>29.9</v>
      </c>
      <c r="J24" s="1">
        <f t="shared" si="2"/>
        <v>29.8</v>
      </c>
      <c r="K24" s="1">
        <f t="shared" si="2"/>
        <v>30</v>
      </c>
      <c r="L24" s="1">
        <f t="shared" si="2"/>
        <v>30.6</v>
      </c>
      <c r="M24" s="1">
        <f t="shared" si="2"/>
        <v>30.6</v>
      </c>
      <c r="N24" s="1">
        <f t="shared" si="2"/>
        <v>31.1</v>
      </c>
      <c r="O24" s="1">
        <f t="shared" si="2"/>
        <v>32</v>
      </c>
      <c r="P24" s="1">
        <f t="shared" si="2"/>
        <v>31.8</v>
      </c>
      <c r="Q24" s="1">
        <f t="shared" si="2"/>
        <v>32.200000000000003</v>
      </c>
      <c r="R24" s="1">
        <f t="shared" si="2"/>
        <v>32.4</v>
      </c>
      <c r="S24" s="1">
        <f t="shared" ref="S24:AB24" si="3">MAX(S2:S21)</f>
        <v>0</v>
      </c>
      <c r="T24" s="1">
        <f t="shared" si="3"/>
        <v>1.26</v>
      </c>
      <c r="U24" s="1">
        <f t="shared" si="3"/>
        <v>0</v>
      </c>
      <c r="V24" s="1">
        <f t="shared" si="3"/>
        <v>0</v>
      </c>
      <c r="W24" s="1">
        <f t="shared" si="3"/>
        <v>0</v>
      </c>
      <c r="X24" s="1">
        <f t="shared" si="3"/>
        <v>0</v>
      </c>
      <c r="Y24" s="1">
        <f t="shared" si="3"/>
        <v>0</v>
      </c>
      <c r="Z24" s="1">
        <f t="shared" si="3"/>
        <v>0</v>
      </c>
      <c r="AA24" s="1">
        <f t="shared" si="3"/>
        <v>0</v>
      </c>
      <c r="AB24" s="1">
        <f t="shared" si="3"/>
        <v>0</v>
      </c>
    </row>
    <row r="25" spans="1:28" s="1" customFormat="1">
      <c r="A25" s="1" t="s">
        <v>23</v>
      </c>
      <c r="B25" s="1">
        <f t="shared" ref="B25:R25" si="4">MIN(B2:B22)</f>
        <v>19.7</v>
      </c>
      <c r="C25" s="1">
        <f t="shared" si="4"/>
        <v>21.1</v>
      </c>
      <c r="D25" s="1">
        <f t="shared" si="4"/>
        <v>21.2</v>
      </c>
      <c r="E25" s="1">
        <f t="shared" si="4"/>
        <v>22</v>
      </c>
      <c r="F25" s="1">
        <f t="shared" si="4"/>
        <v>22.6</v>
      </c>
      <c r="G25" s="1">
        <f t="shared" si="4"/>
        <v>22.7</v>
      </c>
      <c r="H25" s="1">
        <f t="shared" si="4"/>
        <v>22.9</v>
      </c>
      <c r="I25" s="1">
        <f t="shared" si="4"/>
        <v>23.7</v>
      </c>
      <c r="J25" s="1">
        <f t="shared" si="4"/>
        <v>24.1</v>
      </c>
      <c r="K25" s="1">
        <f t="shared" si="4"/>
        <v>24.8</v>
      </c>
      <c r="L25" s="1">
        <f t="shared" si="4"/>
        <v>24.4</v>
      </c>
      <c r="M25" s="1">
        <f t="shared" si="4"/>
        <v>25.1</v>
      </c>
      <c r="N25" s="1">
        <f t="shared" si="4"/>
        <v>25.1</v>
      </c>
      <c r="O25" s="1">
        <f t="shared" si="4"/>
        <v>25.6</v>
      </c>
      <c r="P25" s="1">
        <f t="shared" si="4"/>
        <v>25.6</v>
      </c>
      <c r="Q25" s="1">
        <f t="shared" si="4"/>
        <v>26.1</v>
      </c>
      <c r="R25" s="1">
        <f t="shared" si="4"/>
        <v>26.5</v>
      </c>
      <c r="S25" s="1">
        <f t="shared" ref="S25:AB25" si="5">MIN(S2:S21)</f>
        <v>0</v>
      </c>
      <c r="T25" s="1">
        <f t="shared" si="5"/>
        <v>0.18</v>
      </c>
      <c r="U25" s="1">
        <f t="shared" si="5"/>
        <v>0</v>
      </c>
      <c r="V25" s="1">
        <f t="shared" si="5"/>
        <v>0</v>
      </c>
      <c r="W25" s="1">
        <f t="shared" si="5"/>
        <v>0</v>
      </c>
      <c r="X25" s="1">
        <f t="shared" si="5"/>
        <v>0</v>
      </c>
      <c r="Y25" s="1">
        <f t="shared" si="5"/>
        <v>0</v>
      </c>
      <c r="Z25" s="1">
        <f t="shared" si="5"/>
        <v>0</v>
      </c>
      <c r="AA25" s="1">
        <f t="shared" si="5"/>
        <v>0</v>
      </c>
      <c r="AB25" s="1">
        <f t="shared" si="5"/>
        <v>0</v>
      </c>
    </row>
    <row r="26" spans="1:28" s="1" customFormat="1">
      <c r="A26" s="1" t="s">
        <v>53</v>
      </c>
      <c r="B26" s="1">
        <f>_xlfn.STDEV.S(B2:B22)</f>
        <v>1.7302903692457985</v>
      </c>
      <c r="C26" s="1">
        <f t="shared" ref="C26:R26" si="6">_xlfn.STDEV.S(C2:C22)</f>
        <v>1.6566460667493799</v>
      </c>
      <c r="D26" s="1">
        <f t="shared" si="6"/>
        <v>1.7324356649911519</v>
      </c>
      <c r="E26" s="1">
        <f t="shared" si="6"/>
        <v>1.8515759053663814</v>
      </c>
      <c r="F26" s="1">
        <f t="shared" si="6"/>
        <v>1.8262894987743132</v>
      </c>
      <c r="G26" s="1">
        <f t="shared" si="6"/>
        <v>1.6797250341874974</v>
      </c>
      <c r="H26" s="1">
        <f t="shared" si="6"/>
        <v>1.7598024780937098</v>
      </c>
      <c r="I26" s="1">
        <f t="shared" si="6"/>
        <v>1.7362246946971436</v>
      </c>
      <c r="J26" s="1">
        <f t="shared" si="6"/>
        <v>1.7066396947273457</v>
      </c>
      <c r="K26" s="1">
        <f t="shared" si="6"/>
        <v>1.5997767701419201</v>
      </c>
      <c r="L26" s="1">
        <f t="shared" si="6"/>
        <v>1.8467732477408882</v>
      </c>
      <c r="M26" s="1">
        <f t="shared" si="6"/>
        <v>1.6618119772161497</v>
      </c>
      <c r="N26" s="1">
        <f t="shared" si="6"/>
        <v>1.7885482274472675</v>
      </c>
      <c r="O26" s="1">
        <f t="shared" si="6"/>
        <v>1.9079532788529476</v>
      </c>
      <c r="P26" s="1">
        <f t="shared" si="6"/>
        <v>1.8899735447883921</v>
      </c>
      <c r="Q26" s="1">
        <f t="shared" si="6"/>
        <v>1.918047121919783</v>
      </c>
      <c r="R26" s="1">
        <f t="shared" si="6"/>
        <v>1.8652843521258933</v>
      </c>
    </row>
    <row r="27" spans="1:28" s="1" customFormat="1">
      <c r="A27" s="1" t="s">
        <v>54</v>
      </c>
      <c r="B27" s="1">
        <f>B26*2</f>
        <v>3.460580738491597</v>
      </c>
      <c r="C27" s="1">
        <f t="shared" ref="C27:R27" si="7">C26*2</f>
        <v>3.3132921334987597</v>
      </c>
      <c r="D27" s="1">
        <f t="shared" si="7"/>
        <v>3.4648713299823037</v>
      </c>
      <c r="E27" s="1">
        <f t="shared" si="7"/>
        <v>3.7031518107327628</v>
      </c>
      <c r="F27" s="1">
        <f t="shared" si="7"/>
        <v>3.6525789975486265</v>
      </c>
      <c r="G27" s="1">
        <f t="shared" si="7"/>
        <v>3.3594500683749948</v>
      </c>
      <c r="H27" s="1">
        <f t="shared" si="7"/>
        <v>3.5196049561874196</v>
      </c>
      <c r="I27" s="1">
        <f t="shared" si="7"/>
        <v>3.4724493893942872</v>
      </c>
      <c r="J27" s="1">
        <f t="shared" si="7"/>
        <v>3.4132793894546913</v>
      </c>
      <c r="K27" s="1">
        <f t="shared" si="7"/>
        <v>3.1995535402838402</v>
      </c>
      <c r="L27" s="1">
        <f t="shared" si="7"/>
        <v>3.6935464954817765</v>
      </c>
      <c r="M27" s="1">
        <f t="shared" si="7"/>
        <v>3.3236239544322994</v>
      </c>
      <c r="N27" s="1">
        <f t="shared" si="7"/>
        <v>3.577096454894535</v>
      </c>
      <c r="O27" s="1">
        <f t="shared" si="7"/>
        <v>3.8159065577058953</v>
      </c>
      <c r="P27" s="1">
        <f t="shared" si="7"/>
        <v>3.7799470895767842</v>
      </c>
      <c r="Q27" s="1">
        <f t="shared" si="7"/>
        <v>3.836094243839566</v>
      </c>
      <c r="R27" s="1">
        <f t="shared" si="7"/>
        <v>3.7305687042517865</v>
      </c>
    </row>
    <row r="28" spans="1:28" s="2" customFormat="1">
      <c r="A28" s="3" t="s">
        <v>11</v>
      </c>
      <c r="B28" s="2">
        <v>20.399999999999999</v>
      </c>
      <c r="C28" s="2">
        <v>21.4</v>
      </c>
      <c r="D28" s="2">
        <v>21.4</v>
      </c>
      <c r="E28" s="2">
        <v>22.6</v>
      </c>
      <c r="F28" s="2">
        <v>23</v>
      </c>
      <c r="G28" s="2">
        <v>23.1</v>
      </c>
      <c r="H28" s="2">
        <v>23.5</v>
      </c>
      <c r="I28" s="2">
        <v>26.9</v>
      </c>
      <c r="J28" s="2">
        <v>24.2</v>
      </c>
      <c r="K28" s="2">
        <v>25.1</v>
      </c>
      <c r="L28" s="2">
        <v>25.4</v>
      </c>
      <c r="M28" s="2">
        <v>25.6</v>
      </c>
      <c r="N28" s="2">
        <v>25.6</v>
      </c>
      <c r="O28" s="2">
        <v>26.7</v>
      </c>
      <c r="P28" s="2">
        <v>26</v>
      </c>
      <c r="Q28" s="2">
        <v>27.2</v>
      </c>
      <c r="R28" s="2">
        <v>27.2</v>
      </c>
      <c r="T28" s="2">
        <v>0.3</v>
      </c>
    </row>
    <row r="29" spans="1:28" s="2" customFormat="1">
      <c r="A29" s="3" t="s">
        <v>12</v>
      </c>
      <c r="B29" s="2">
        <v>23.8</v>
      </c>
      <c r="C29" s="2">
        <v>24.4</v>
      </c>
      <c r="D29" s="2">
        <v>24.6</v>
      </c>
      <c r="E29" s="2">
        <v>24.8</v>
      </c>
      <c r="F29" s="2">
        <v>25.7</v>
      </c>
      <c r="G29" s="2">
        <v>26.1</v>
      </c>
      <c r="H29" s="2">
        <v>26.6</v>
      </c>
      <c r="I29" s="2">
        <v>23.1</v>
      </c>
      <c r="J29" s="2">
        <v>27.4</v>
      </c>
      <c r="K29" s="2">
        <v>27.7</v>
      </c>
      <c r="L29" s="2">
        <v>27.9</v>
      </c>
      <c r="M29" s="2">
        <v>28.6</v>
      </c>
      <c r="N29" s="2">
        <v>28.3</v>
      </c>
      <c r="O29" s="2">
        <v>28.9</v>
      </c>
      <c r="P29" s="2">
        <v>28.8</v>
      </c>
      <c r="Q29" s="2">
        <v>29.8</v>
      </c>
      <c r="R29" s="2">
        <v>29.8</v>
      </c>
      <c r="T29" s="2">
        <v>0.83</v>
      </c>
    </row>
    <row r="30" spans="1:28" s="2" customFormat="1">
      <c r="A30" s="3" t="s">
        <v>13</v>
      </c>
      <c r="B30" s="2">
        <v>20.100000000000001</v>
      </c>
      <c r="C30" s="2">
        <v>21.4</v>
      </c>
      <c r="D30" s="2">
        <v>22.3</v>
      </c>
      <c r="E30" s="2">
        <v>22.7</v>
      </c>
      <c r="F30" s="2">
        <v>23.4</v>
      </c>
      <c r="G30" s="2">
        <v>24.3</v>
      </c>
      <c r="H30" s="2">
        <v>25</v>
      </c>
      <c r="I30" s="2">
        <v>25.1</v>
      </c>
      <c r="J30" s="2">
        <v>26</v>
      </c>
      <c r="K30" s="2">
        <v>26.7</v>
      </c>
      <c r="L30" s="2">
        <v>27</v>
      </c>
      <c r="M30" s="2">
        <v>27.5</v>
      </c>
      <c r="N30" s="2">
        <v>27.8</v>
      </c>
      <c r="O30" s="2">
        <v>28.7</v>
      </c>
      <c r="P30" s="2">
        <v>28.8</v>
      </c>
      <c r="Q30" s="2">
        <v>29.6</v>
      </c>
      <c r="R30" s="2">
        <v>29.4</v>
      </c>
      <c r="T30" s="2">
        <v>0.76</v>
      </c>
    </row>
    <row r="31" spans="1:28" s="2" customFormat="1">
      <c r="A31" s="3" t="s">
        <v>14</v>
      </c>
      <c r="B31" s="2">
        <v>23.7</v>
      </c>
      <c r="C31" s="2">
        <v>24.8</v>
      </c>
      <c r="D31" s="2">
        <v>24.8</v>
      </c>
      <c r="E31" s="2">
        <v>25.1</v>
      </c>
      <c r="F31" s="2">
        <v>25.5</v>
      </c>
      <c r="G31" s="2">
        <v>25.5</v>
      </c>
      <c r="H31" s="2">
        <v>26.3</v>
      </c>
      <c r="I31" s="2">
        <v>25.4</v>
      </c>
      <c r="J31" s="2">
        <v>27.1</v>
      </c>
      <c r="K31" s="2">
        <v>27.2</v>
      </c>
      <c r="L31" s="2">
        <v>27.7</v>
      </c>
      <c r="M31" s="2">
        <v>27.4</v>
      </c>
      <c r="N31" s="2">
        <v>28.4</v>
      </c>
      <c r="O31" s="2">
        <v>28.8</v>
      </c>
      <c r="P31" s="2">
        <v>28.6</v>
      </c>
      <c r="Q31" s="2">
        <v>29.5</v>
      </c>
      <c r="R31" s="2">
        <v>29.3</v>
      </c>
      <c r="T31" s="2">
        <v>0.94</v>
      </c>
    </row>
    <row r="32" spans="1:28" s="2" customFormat="1">
      <c r="A32" s="3" t="s">
        <v>15</v>
      </c>
      <c r="B32" s="2">
        <v>21.4</v>
      </c>
      <c r="C32" s="2">
        <v>22.3</v>
      </c>
      <c r="D32" s="2">
        <v>22.3</v>
      </c>
      <c r="E32" s="2">
        <v>22.4</v>
      </c>
      <c r="F32" s="2">
        <v>22.2</v>
      </c>
      <c r="G32" s="2">
        <v>22.8</v>
      </c>
      <c r="H32" s="2">
        <v>23.1</v>
      </c>
      <c r="I32" s="2">
        <v>20.6</v>
      </c>
      <c r="J32" s="2">
        <v>23.4</v>
      </c>
      <c r="K32" s="2">
        <v>24.4</v>
      </c>
      <c r="L32" s="2">
        <v>24.6</v>
      </c>
      <c r="M32" s="2">
        <v>24.6</v>
      </c>
      <c r="N32" s="2">
        <v>25.2</v>
      </c>
      <c r="O32" s="2">
        <v>25.3</v>
      </c>
      <c r="P32" s="2">
        <v>25.3</v>
      </c>
      <c r="Q32" s="2">
        <v>26.2</v>
      </c>
      <c r="R32" s="2">
        <v>26.7</v>
      </c>
      <c r="T32" s="2">
        <v>0.45</v>
      </c>
    </row>
    <row r="33" spans="1:20" s="2" customFormat="1">
      <c r="A33" s="4" t="s">
        <v>16</v>
      </c>
      <c r="B33" s="2">
        <v>22.4</v>
      </c>
      <c r="C33" s="2">
        <v>22.8</v>
      </c>
      <c r="D33" s="2">
        <v>23.6</v>
      </c>
      <c r="E33" s="2">
        <v>24.4</v>
      </c>
      <c r="F33" s="2">
        <v>24.3</v>
      </c>
      <c r="G33" s="2">
        <v>24.6</v>
      </c>
      <c r="H33" s="2">
        <v>25.3</v>
      </c>
      <c r="I33" s="2">
        <v>26.1</v>
      </c>
      <c r="J33" s="2">
        <v>27.1</v>
      </c>
      <c r="K33" s="2">
        <v>26.7</v>
      </c>
      <c r="L33" s="2">
        <v>27.5</v>
      </c>
      <c r="M33" s="2">
        <v>27.2</v>
      </c>
      <c r="N33" s="2">
        <v>27</v>
      </c>
      <c r="O33" s="2">
        <v>27.6</v>
      </c>
      <c r="P33" s="2">
        <v>27.5</v>
      </c>
      <c r="Q33" s="2">
        <v>27.8</v>
      </c>
      <c r="R33" s="2">
        <v>27.5</v>
      </c>
      <c r="T33" s="2">
        <v>0.44</v>
      </c>
    </row>
    <row r="34" spans="1:20" s="2" customFormat="1">
      <c r="A34" s="4" t="s">
        <v>17</v>
      </c>
      <c r="B34" s="2">
        <v>22</v>
      </c>
      <c r="C34" s="2">
        <v>22.3</v>
      </c>
      <c r="D34" s="2">
        <v>22.9</v>
      </c>
      <c r="E34" s="2">
        <v>24.4</v>
      </c>
      <c r="F34" s="2">
        <v>24.5</v>
      </c>
      <c r="G34" s="2">
        <v>25</v>
      </c>
      <c r="H34" s="2">
        <v>25.8</v>
      </c>
      <c r="I34" s="2">
        <v>26.2</v>
      </c>
      <c r="J34" s="2">
        <v>26.5</v>
      </c>
      <c r="K34" s="2">
        <v>26.8</v>
      </c>
      <c r="L34" s="2">
        <v>27.7</v>
      </c>
      <c r="M34" s="2">
        <v>27.2</v>
      </c>
      <c r="N34" s="2">
        <v>27.8</v>
      </c>
      <c r="O34" s="2">
        <v>28.2</v>
      </c>
      <c r="P34" s="2">
        <v>28.5</v>
      </c>
      <c r="Q34" s="2">
        <v>28.7</v>
      </c>
      <c r="R34" s="2">
        <v>29.1</v>
      </c>
      <c r="T34" s="2">
        <v>0.57999999999999996</v>
      </c>
    </row>
    <row r="35" spans="1:20" s="2" customFormat="1">
      <c r="A35" s="4" t="s">
        <v>18</v>
      </c>
      <c r="B35" s="2">
        <v>22.6</v>
      </c>
      <c r="C35" s="2">
        <v>23</v>
      </c>
      <c r="D35" s="2">
        <v>23.2</v>
      </c>
      <c r="E35" s="2">
        <v>24.7</v>
      </c>
      <c r="F35" s="2">
        <v>24.8</v>
      </c>
      <c r="G35" s="2">
        <v>25.4</v>
      </c>
      <c r="H35" s="2">
        <v>26.2</v>
      </c>
      <c r="I35" s="2">
        <v>26.7</v>
      </c>
      <c r="J35" s="2">
        <v>27</v>
      </c>
      <c r="K35" s="2">
        <v>27.1</v>
      </c>
      <c r="L35" s="2">
        <v>27.9</v>
      </c>
      <c r="M35" s="2">
        <v>26.8</v>
      </c>
      <c r="N35" s="2">
        <v>27.1</v>
      </c>
      <c r="O35" s="2">
        <v>27.7</v>
      </c>
      <c r="P35" s="2">
        <v>27.5</v>
      </c>
      <c r="Q35" s="2">
        <v>27.5</v>
      </c>
      <c r="R35" s="2">
        <v>28.3</v>
      </c>
      <c r="T35" s="2">
        <v>0.42</v>
      </c>
    </row>
    <row r="36" spans="1:20" s="2" customFormat="1">
      <c r="A36" s="4" t="s">
        <v>19</v>
      </c>
      <c r="B36" s="2">
        <v>23.2</v>
      </c>
      <c r="C36" s="2">
        <v>23.6</v>
      </c>
      <c r="D36" s="2">
        <v>23.8</v>
      </c>
      <c r="E36" s="2">
        <v>24.6</v>
      </c>
      <c r="F36" s="2">
        <v>24.2</v>
      </c>
      <c r="G36" s="2">
        <v>25.1</v>
      </c>
      <c r="H36" s="2">
        <v>25.8</v>
      </c>
      <c r="I36" s="2">
        <v>26</v>
      </c>
      <c r="J36" s="2">
        <v>26.7</v>
      </c>
      <c r="K36" s="2">
        <v>27.4</v>
      </c>
      <c r="L36" s="2">
        <v>28.6</v>
      </c>
      <c r="M36" s="2">
        <v>27.7</v>
      </c>
      <c r="N36" s="2">
        <v>28.3</v>
      </c>
      <c r="O36" s="2">
        <v>28.3</v>
      </c>
      <c r="P36" s="2">
        <v>28.9</v>
      </c>
      <c r="Q36" s="2">
        <v>28.7</v>
      </c>
      <c r="R36" s="2">
        <v>28.9</v>
      </c>
      <c r="T36" s="2">
        <v>0.41</v>
      </c>
    </row>
    <row r="37" spans="1:20" s="2" customFormat="1">
      <c r="A37" s="5" t="s">
        <v>20</v>
      </c>
      <c r="B37" s="2">
        <v>21.8</v>
      </c>
      <c r="C37" s="2">
        <v>22.2</v>
      </c>
      <c r="D37" s="2">
        <v>22.7</v>
      </c>
      <c r="E37" s="2">
        <v>22.9</v>
      </c>
      <c r="F37" s="2">
        <v>23.2</v>
      </c>
      <c r="G37" s="2">
        <v>23.7</v>
      </c>
      <c r="H37" s="2">
        <v>24.1</v>
      </c>
      <c r="I37" s="2">
        <v>23.8</v>
      </c>
      <c r="J37" s="2">
        <v>24.8</v>
      </c>
      <c r="K37" s="2">
        <v>25</v>
      </c>
      <c r="L37" s="2">
        <v>25.6</v>
      </c>
      <c r="M37" s="2">
        <v>25.6</v>
      </c>
      <c r="N37" s="2">
        <v>25.7</v>
      </c>
      <c r="O37" s="2">
        <v>25.9</v>
      </c>
      <c r="P37" s="2">
        <v>26.1</v>
      </c>
      <c r="Q37" s="2">
        <v>26.2</v>
      </c>
      <c r="R37" s="2">
        <v>26.4</v>
      </c>
      <c r="T37" s="2">
        <v>0.77</v>
      </c>
    </row>
    <row r="38" spans="1:20" s="2" customFormat="1">
      <c r="A38" s="5" t="s">
        <v>31</v>
      </c>
      <c r="B38" s="2">
        <v>23.8</v>
      </c>
      <c r="C38" s="2">
        <v>24.6</v>
      </c>
      <c r="D38" s="2">
        <v>24.8</v>
      </c>
      <c r="E38" s="2">
        <v>25.5</v>
      </c>
      <c r="F38" s="2">
        <v>26</v>
      </c>
      <c r="G38" s="2">
        <v>26.7</v>
      </c>
      <c r="H38" s="2">
        <v>26.1</v>
      </c>
      <c r="I38" s="2">
        <v>26.3</v>
      </c>
      <c r="J38" s="2">
        <v>27</v>
      </c>
      <c r="K38" s="2">
        <v>27.1</v>
      </c>
      <c r="L38" s="2">
        <v>27.3</v>
      </c>
      <c r="M38" s="2">
        <v>27.2</v>
      </c>
      <c r="N38" s="2">
        <v>27.2</v>
      </c>
      <c r="O38" s="2">
        <v>26.8</v>
      </c>
      <c r="P38" s="2">
        <v>27.4</v>
      </c>
      <c r="Q38" s="2">
        <v>27</v>
      </c>
      <c r="R38" s="2">
        <v>27.7</v>
      </c>
      <c r="T38" s="2">
        <v>0.52</v>
      </c>
    </row>
    <row r="39" spans="1:20" s="2" customFormat="1">
      <c r="A39" s="5" t="s">
        <v>32</v>
      </c>
      <c r="B39" s="2">
        <v>24.5</v>
      </c>
      <c r="C39" s="2">
        <v>24.7</v>
      </c>
      <c r="D39" s="2">
        <v>25</v>
      </c>
      <c r="E39" s="2">
        <v>26.1</v>
      </c>
      <c r="F39" s="2">
        <v>26.4</v>
      </c>
      <c r="G39" s="2">
        <v>26.6</v>
      </c>
      <c r="H39" s="2">
        <v>27.5</v>
      </c>
      <c r="I39" s="2">
        <v>27.1</v>
      </c>
      <c r="J39" s="2">
        <v>28</v>
      </c>
      <c r="K39" s="2">
        <v>27.6</v>
      </c>
      <c r="L39" s="2">
        <v>28.8</v>
      </c>
      <c r="M39" s="2">
        <v>28.5</v>
      </c>
      <c r="N39" s="2">
        <v>28.4</v>
      </c>
      <c r="O39" s="2">
        <v>29</v>
      </c>
      <c r="P39" s="2">
        <v>29.4</v>
      </c>
      <c r="Q39" s="2">
        <v>29.6</v>
      </c>
      <c r="R39" s="2">
        <v>30.6</v>
      </c>
      <c r="T39" s="2">
        <v>0.88</v>
      </c>
    </row>
    <row r="40" spans="1:20" s="2" customFormat="1">
      <c r="A40" s="5" t="s">
        <v>33</v>
      </c>
      <c r="B40" s="2">
        <v>26.3</v>
      </c>
      <c r="C40" s="2">
        <v>27</v>
      </c>
      <c r="D40" s="2">
        <v>27.4</v>
      </c>
      <c r="E40" s="2">
        <v>28</v>
      </c>
      <c r="F40" s="2">
        <v>28.7</v>
      </c>
      <c r="G40" s="2">
        <v>29.5</v>
      </c>
      <c r="H40" s="2">
        <v>29.2</v>
      </c>
      <c r="I40" s="2">
        <v>29.4</v>
      </c>
      <c r="J40" s="2">
        <v>29.6</v>
      </c>
      <c r="K40" s="2">
        <v>29.8</v>
      </c>
      <c r="L40" s="2">
        <v>30.3</v>
      </c>
      <c r="M40" s="2">
        <v>30.4</v>
      </c>
      <c r="N40" s="2">
        <v>30.6</v>
      </c>
      <c r="O40" s="2">
        <v>30.7</v>
      </c>
      <c r="P40" s="2">
        <v>31.1</v>
      </c>
      <c r="Q40" s="2">
        <v>31.1</v>
      </c>
      <c r="R40" s="2">
        <v>31.4</v>
      </c>
      <c r="T40" s="2">
        <v>0.85</v>
      </c>
    </row>
    <row r="41" spans="1:20" s="2" customFormat="1">
      <c r="A41" s="6" t="s">
        <v>34</v>
      </c>
      <c r="B41" s="2">
        <v>20.8</v>
      </c>
      <c r="C41" s="2">
        <v>21.3</v>
      </c>
      <c r="D41" s="2">
        <v>21.8</v>
      </c>
      <c r="E41" s="2">
        <v>22.5</v>
      </c>
      <c r="F41" s="2">
        <v>22.8</v>
      </c>
      <c r="G41" s="2">
        <v>23.2</v>
      </c>
      <c r="H41" s="2">
        <v>23.5</v>
      </c>
      <c r="I41" s="2">
        <v>24</v>
      </c>
      <c r="J41" s="2">
        <v>24.4</v>
      </c>
      <c r="K41" s="2">
        <v>24.7</v>
      </c>
      <c r="L41" s="2">
        <v>25.2</v>
      </c>
      <c r="M41" s="2">
        <v>25.3</v>
      </c>
      <c r="N41" s="2">
        <v>25.8</v>
      </c>
      <c r="O41" s="2">
        <v>25.9</v>
      </c>
      <c r="P41" s="2">
        <v>26.6</v>
      </c>
      <c r="Q41" s="2">
        <v>26.4</v>
      </c>
      <c r="R41" s="2">
        <v>27</v>
      </c>
      <c r="T41" s="2">
        <v>0.53</v>
      </c>
    </row>
    <row r="42" spans="1:20" s="2" customFormat="1">
      <c r="A42" s="6" t="s">
        <v>35</v>
      </c>
      <c r="B42" s="2">
        <v>23.8</v>
      </c>
      <c r="C42" s="2">
        <v>24.5</v>
      </c>
      <c r="D42" s="2">
        <v>25.1</v>
      </c>
      <c r="E42" s="2">
        <v>26.2</v>
      </c>
      <c r="F42" s="2">
        <v>26</v>
      </c>
      <c r="G42" s="2">
        <v>26.4</v>
      </c>
      <c r="H42" s="2">
        <v>27</v>
      </c>
      <c r="I42" s="2">
        <v>27.5</v>
      </c>
      <c r="J42" s="2">
        <v>27.3</v>
      </c>
      <c r="K42" s="2">
        <v>28.2</v>
      </c>
      <c r="L42" s="2">
        <v>28.6</v>
      </c>
      <c r="M42" s="2">
        <v>29.1</v>
      </c>
      <c r="N42" s="2">
        <v>29.2</v>
      </c>
      <c r="O42" s="2">
        <v>30.2</v>
      </c>
      <c r="P42" s="2">
        <v>30.5</v>
      </c>
      <c r="Q42" s="2">
        <v>30</v>
      </c>
      <c r="R42" s="2">
        <v>31.8</v>
      </c>
      <c r="T42" s="2">
        <v>1.29</v>
      </c>
    </row>
    <row r="43" spans="1:20" s="2" customFormat="1">
      <c r="A43" s="6" t="s">
        <v>36</v>
      </c>
      <c r="B43" s="2">
        <v>22.5</v>
      </c>
      <c r="C43" s="2">
        <v>23</v>
      </c>
      <c r="D43" s="2">
        <v>23.4</v>
      </c>
      <c r="E43" s="2">
        <v>24.1</v>
      </c>
      <c r="F43" s="2">
        <v>24.5</v>
      </c>
      <c r="G43" s="2">
        <v>25.2</v>
      </c>
      <c r="H43" s="2">
        <v>25.2</v>
      </c>
      <c r="I43" s="2">
        <v>25.3</v>
      </c>
      <c r="J43" s="2">
        <v>25.7</v>
      </c>
      <c r="K43" s="2">
        <v>26.2</v>
      </c>
      <c r="L43" s="2">
        <v>26.2</v>
      </c>
      <c r="M43" s="2">
        <v>25.9</v>
      </c>
      <c r="N43" s="2">
        <v>26.5</v>
      </c>
      <c r="O43" s="2">
        <v>26.6</v>
      </c>
      <c r="P43" s="2">
        <v>26.3</v>
      </c>
      <c r="Q43" s="2">
        <v>26</v>
      </c>
      <c r="R43" s="2">
        <v>25.3</v>
      </c>
      <c r="T43" s="2">
        <v>0.4</v>
      </c>
    </row>
    <row r="44" spans="1:20" s="2" customFormat="1">
      <c r="A44" s="6" t="s">
        <v>41</v>
      </c>
      <c r="B44" s="2">
        <v>24.2</v>
      </c>
      <c r="C44" s="2">
        <v>24.8</v>
      </c>
      <c r="D44" s="2">
        <v>25.5</v>
      </c>
      <c r="E44" s="2">
        <v>25.8</v>
      </c>
      <c r="F44" s="2">
        <v>26</v>
      </c>
      <c r="G44" s="2">
        <v>26.1</v>
      </c>
      <c r="H44" s="2">
        <v>27</v>
      </c>
      <c r="I44" s="2">
        <v>27.5</v>
      </c>
      <c r="J44" s="2">
        <v>27.2</v>
      </c>
      <c r="K44" s="2">
        <v>28</v>
      </c>
      <c r="L44" s="2">
        <v>27.7</v>
      </c>
      <c r="M44" s="2">
        <v>28.3</v>
      </c>
      <c r="N44" s="2">
        <v>28.6</v>
      </c>
      <c r="O44" s="2">
        <v>29.3</v>
      </c>
      <c r="P44" s="2">
        <v>29</v>
      </c>
      <c r="Q44" s="2">
        <v>28.8</v>
      </c>
      <c r="R44" s="2">
        <v>29.4</v>
      </c>
      <c r="T44" s="2">
        <v>0.73</v>
      </c>
    </row>
    <row r="45" spans="1:20" s="2" customFormat="1">
      <c r="A45" s="7" t="s">
        <v>42</v>
      </c>
      <c r="B45" s="2">
        <v>21</v>
      </c>
      <c r="C45" s="2">
        <v>21.8</v>
      </c>
      <c r="D45" s="2">
        <v>22.2</v>
      </c>
      <c r="E45" s="2">
        <v>22.6</v>
      </c>
      <c r="F45" s="2">
        <v>23.6</v>
      </c>
      <c r="G45" s="2">
        <v>23.6</v>
      </c>
      <c r="H45" s="2">
        <v>23.8</v>
      </c>
      <c r="I45" s="2">
        <v>23.8</v>
      </c>
      <c r="J45" s="2">
        <v>24.4</v>
      </c>
      <c r="K45" s="2">
        <v>25.4</v>
      </c>
      <c r="L45" s="2">
        <v>25.3</v>
      </c>
      <c r="M45" s="2">
        <v>25.3</v>
      </c>
      <c r="N45" s="2">
        <v>25.9</v>
      </c>
      <c r="O45" s="2">
        <v>26.5</v>
      </c>
      <c r="P45" s="2">
        <v>26.8</v>
      </c>
      <c r="Q45" s="2">
        <v>27</v>
      </c>
      <c r="R45" s="2">
        <v>27.7</v>
      </c>
      <c r="T45" s="2">
        <v>0.5</v>
      </c>
    </row>
    <row r="46" spans="1:20" s="2" customFormat="1">
      <c r="A46" s="7" t="s">
        <v>43</v>
      </c>
      <c r="B46" s="2">
        <v>23.5</v>
      </c>
      <c r="C46" s="2">
        <v>24</v>
      </c>
      <c r="D46" s="2">
        <v>24.6</v>
      </c>
      <c r="E46" s="2">
        <v>24.1</v>
      </c>
      <c r="F46" s="2">
        <v>25.2</v>
      </c>
      <c r="G46" s="2">
        <v>25.2</v>
      </c>
      <c r="H46" s="2">
        <v>25.5</v>
      </c>
      <c r="I46" s="2">
        <v>25.6</v>
      </c>
      <c r="J46" s="2">
        <v>25.8</v>
      </c>
      <c r="K46" s="2">
        <v>26.7</v>
      </c>
      <c r="L46" s="2">
        <v>26.7</v>
      </c>
      <c r="M46" s="2">
        <v>26.9</v>
      </c>
      <c r="N46" s="2">
        <v>28.4</v>
      </c>
      <c r="O46" s="2">
        <v>28.9</v>
      </c>
      <c r="P46" s="2">
        <v>29</v>
      </c>
      <c r="Q46" s="2">
        <v>28.8</v>
      </c>
      <c r="R46" s="2">
        <v>29.2</v>
      </c>
      <c r="T46" s="2">
        <v>0.79</v>
      </c>
    </row>
    <row r="47" spans="1:20" s="2" customFormat="1">
      <c r="A47" s="7" t="s">
        <v>44</v>
      </c>
      <c r="B47" s="2">
        <v>24.7</v>
      </c>
      <c r="C47" s="2">
        <v>25</v>
      </c>
      <c r="D47" s="2">
        <v>25.4</v>
      </c>
      <c r="E47" s="2">
        <v>25</v>
      </c>
      <c r="F47" s="2">
        <v>26.2</v>
      </c>
      <c r="G47" s="2">
        <v>25.5</v>
      </c>
      <c r="H47" s="2">
        <v>26.3</v>
      </c>
      <c r="I47" s="2">
        <v>26.1</v>
      </c>
      <c r="J47" s="2">
        <v>26.8</v>
      </c>
      <c r="K47" s="2">
        <v>27.6</v>
      </c>
      <c r="L47" s="2">
        <v>27.8</v>
      </c>
      <c r="M47" s="2">
        <v>28.5</v>
      </c>
      <c r="N47" s="2">
        <v>29.2</v>
      </c>
      <c r="O47" s="2">
        <v>29.7</v>
      </c>
      <c r="P47" s="2">
        <v>30</v>
      </c>
      <c r="Q47" s="2">
        <v>30.2</v>
      </c>
      <c r="R47" s="2">
        <v>30.5</v>
      </c>
      <c r="T47" s="2">
        <v>0.88</v>
      </c>
    </row>
    <row r="48" spans="1:20" s="2" customFormat="1">
      <c r="A48" s="7" t="s">
        <v>46</v>
      </c>
      <c r="B48" s="2">
        <v>22</v>
      </c>
      <c r="C48" s="2">
        <v>22.8</v>
      </c>
      <c r="D48" s="2">
        <v>23.2</v>
      </c>
      <c r="E48" s="2">
        <v>23.2</v>
      </c>
      <c r="F48" s="2">
        <v>23.9</v>
      </c>
      <c r="G48" s="2">
        <v>23.9</v>
      </c>
      <c r="H48" s="2">
        <v>24.3</v>
      </c>
      <c r="I48" s="2">
        <v>24.2</v>
      </c>
      <c r="J48" s="2">
        <v>24.5</v>
      </c>
      <c r="K48" s="2">
        <v>24.7</v>
      </c>
      <c r="L48" s="2">
        <v>24.8</v>
      </c>
      <c r="M48" s="2">
        <v>24.6</v>
      </c>
      <c r="N48" s="2">
        <v>25.1</v>
      </c>
      <c r="O48" s="2">
        <v>25.2</v>
      </c>
      <c r="P48" s="2">
        <v>25.5</v>
      </c>
      <c r="Q48" s="2">
        <v>25.8</v>
      </c>
      <c r="R48" s="2">
        <v>26</v>
      </c>
      <c r="T48" s="2">
        <v>0.15</v>
      </c>
    </row>
    <row r="49" spans="1:28" s="2" customFormat="1">
      <c r="A49" s="7" t="s">
        <v>47</v>
      </c>
      <c r="B49" s="2">
        <v>25.3</v>
      </c>
      <c r="C49" s="2">
        <v>26.2</v>
      </c>
      <c r="D49" s="2">
        <v>26.6</v>
      </c>
      <c r="E49" s="2">
        <v>26.3</v>
      </c>
      <c r="F49" s="2">
        <v>27.3</v>
      </c>
      <c r="G49" s="2">
        <v>27.6</v>
      </c>
      <c r="H49" s="2">
        <v>28.2</v>
      </c>
      <c r="I49" s="2">
        <v>28.5</v>
      </c>
      <c r="J49" s="2">
        <v>29.3</v>
      </c>
      <c r="K49" s="2">
        <v>30.2</v>
      </c>
      <c r="L49" s="2">
        <v>30.2</v>
      </c>
      <c r="M49" s="2">
        <v>30.4</v>
      </c>
      <c r="N49" s="2">
        <v>31.2</v>
      </c>
      <c r="O49" s="2">
        <v>31.1</v>
      </c>
      <c r="P49" s="2">
        <v>30.8</v>
      </c>
      <c r="Q49" s="2">
        <v>31.1</v>
      </c>
      <c r="R49" s="2">
        <v>31.3</v>
      </c>
      <c r="T49" s="2">
        <v>0.21</v>
      </c>
    </row>
    <row r="50" spans="1:28" s="2" customFormat="1">
      <c r="A50" s="2" t="s">
        <v>21</v>
      </c>
      <c r="B50" s="2">
        <f t="shared" ref="B50:R50" si="8">AVERAGE(B28:B49)</f>
        <v>22.900000000000002</v>
      </c>
      <c r="C50" s="2">
        <f t="shared" si="8"/>
        <v>23.540909090909096</v>
      </c>
      <c r="D50" s="2">
        <f t="shared" si="8"/>
        <v>23.936363636363634</v>
      </c>
      <c r="E50" s="2">
        <f t="shared" si="8"/>
        <v>24.45454545454546</v>
      </c>
      <c r="F50" s="2">
        <f t="shared" si="8"/>
        <v>24.881818181818176</v>
      </c>
      <c r="G50" s="2">
        <f t="shared" si="8"/>
        <v>25.231818181818184</v>
      </c>
      <c r="H50" s="2">
        <f t="shared" si="8"/>
        <v>25.695454545454542</v>
      </c>
      <c r="I50" s="2">
        <f t="shared" si="8"/>
        <v>25.690909090909091</v>
      </c>
      <c r="J50" s="2">
        <f t="shared" si="8"/>
        <v>26.372727272727271</v>
      </c>
      <c r="K50" s="2">
        <f t="shared" si="8"/>
        <v>26.831818181818186</v>
      </c>
      <c r="L50" s="2">
        <f t="shared" si="8"/>
        <v>27.218181818181815</v>
      </c>
      <c r="M50" s="2">
        <f t="shared" si="8"/>
        <v>27.209090909090911</v>
      </c>
      <c r="N50" s="2">
        <f t="shared" si="8"/>
        <v>27.604545454545459</v>
      </c>
      <c r="O50" s="2">
        <f t="shared" si="8"/>
        <v>28.000000000000004</v>
      </c>
      <c r="P50" s="2">
        <f t="shared" si="8"/>
        <v>28.109090909090909</v>
      </c>
      <c r="Q50" s="2">
        <f t="shared" si="8"/>
        <v>28.318181818181817</v>
      </c>
      <c r="R50" s="2">
        <f t="shared" si="8"/>
        <v>28.65909090909091</v>
      </c>
      <c r="S50" s="2" t="e">
        <f>AVERAGE(S28:S47)</f>
        <v>#DIV/0!</v>
      </c>
      <c r="T50" s="2">
        <f>AVERAGE(T28:T49)</f>
        <v>0.61954545454545462</v>
      </c>
      <c r="U50" s="2" t="e">
        <f t="shared" ref="U50:AB50" si="9">AVERAGE(U28:U47)</f>
        <v>#DIV/0!</v>
      </c>
      <c r="V50" s="2" t="e">
        <f t="shared" si="9"/>
        <v>#DIV/0!</v>
      </c>
      <c r="W50" s="2" t="e">
        <f t="shared" si="9"/>
        <v>#DIV/0!</v>
      </c>
      <c r="X50" s="2" t="e">
        <f t="shared" si="9"/>
        <v>#DIV/0!</v>
      </c>
      <c r="Y50" s="2" t="e">
        <f t="shared" si="9"/>
        <v>#DIV/0!</v>
      </c>
      <c r="Z50" s="2" t="e">
        <f t="shared" si="9"/>
        <v>#DIV/0!</v>
      </c>
      <c r="AA50" s="2" t="e">
        <f t="shared" si="9"/>
        <v>#DIV/0!</v>
      </c>
      <c r="AB50" s="2" t="e">
        <f t="shared" si="9"/>
        <v>#DIV/0!</v>
      </c>
    </row>
    <row r="51" spans="1:28" s="2" customFormat="1">
      <c r="A51" s="2" t="s">
        <v>22</v>
      </c>
      <c r="B51" s="2">
        <f t="shared" ref="B51:R51" si="10">MAX(B28:B49)</f>
        <v>26.3</v>
      </c>
      <c r="C51" s="2">
        <f t="shared" si="10"/>
        <v>27</v>
      </c>
      <c r="D51" s="2">
        <f t="shared" si="10"/>
        <v>27.4</v>
      </c>
      <c r="E51" s="2">
        <f t="shared" si="10"/>
        <v>28</v>
      </c>
      <c r="F51" s="2">
        <f t="shared" si="10"/>
        <v>28.7</v>
      </c>
      <c r="G51" s="2">
        <f t="shared" si="10"/>
        <v>29.5</v>
      </c>
      <c r="H51" s="2">
        <f t="shared" si="10"/>
        <v>29.2</v>
      </c>
      <c r="I51" s="2">
        <f t="shared" si="10"/>
        <v>29.4</v>
      </c>
      <c r="J51" s="2">
        <f t="shared" si="10"/>
        <v>29.6</v>
      </c>
      <c r="K51" s="2">
        <f t="shared" si="10"/>
        <v>30.2</v>
      </c>
      <c r="L51" s="2">
        <f t="shared" si="10"/>
        <v>30.3</v>
      </c>
      <c r="M51" s="2">
        <f t="shared" si="10"/>
        <v>30.4</v>
      </c>
      <c r="N51" s="2">
        <f t="shared" si="10"/>
        <v>31.2</v>
      </c>
      <c r="O51" s="2">
        <f t="shared" si="10"/>
        <v>31.1</v>
      </c>
      <c r="P51" s="2">
        <f t="shared" si="10"/>
        <v>31.1</v>
      </c>
      <c r="Q51" s="2">
        <f t="shared" si="10"/>
        <v>31.1</v>
      </c>
      <c r="R51" s="2">
        <f t="shared" si="10"/>
        <v>31.8</v>
      </c>
      <c r="S51" s="2">
        <f>MAX(S28:S47)</f>
        <v>0</v>
      </c>
      <c r="T51" s="2">
        <f>MAX(T28:T49)</f>
        <v>1.29</v>
      </c>
      <c r="U51" s="2">
        <f t="shared" ref="U51:AB51" si="11">MAX(U28:U47)</f>
        <v>0</v>
      </c>
      <c r="V51" s="2">
        <f t="shared" si="11"/>
        <v>0</v>
      </c>
      <c r="W51" s="2">
        <f t="shared" si="11"/>
        <v>0</v>
      </c>
      <c r="X51" s="2">
        <f t="shared" si="11"/>
        <v>0</v>
      </c>
      <c r="Y51" s="2">
        <f t="shared" si="11"/>
        <v>0</v>
      </c>
      <c r="Z51" s="2">
        <f t="shared" si="11"/>
        <v>0</v>
      </c>
      <c r="AA51" s="2">
        <f t="shared" si="11"/>
        <v>0</v>
      </c>
      <c r="AB51" s="2">
        <f t="shared" si="11"/>
        <v>0</v>
      </c>
    </row>
    <row r="52" spans="1:28" s="2" customFormat="1">
      <c r="A52" s="2" t="s">
        <v>23</v>
      </c>
      <c r="B52" s="2">
        <f t="shared" ref="B52:R52" si="12">MIN(B28:B49)</f>
        <v>20.100000000000001</v>
      </c>
      <c r="C52" s="2">
        <f t="shared" si="12"/>
        <v>21.3</v>
      </c>
      <c r="D52" s="2">
        <f t="shared" si="12"/>
        <v>21.4</v>
      </c>
      <c r="E52" s="2">
        <f t="shared" si="12"/>
        <v>22.4</v>
      </c>
      <c r="F52" s="2">
        <f t="shared" si="12"/>
        <v>22.2</v>
      </c>
      <c r="G52" s="2">
        <f t="shared" si="12"/>
        <v>22.8</v>
      </c>
      <c r="H52" s="2">
        <f t="shared" si="12"/>
        <v>23.1</v>
      </c>
      <c r="I52" s="2">
        <f t="shared" si="12"/>
        <v>20.6</v>
      </c>
      <c r="J52" s="2">
        <f t="shared" si="12"/>
        <v>23.4</v>
      </c>
      <c r="K52" s="2">
        <f t="shared" si="12"/>
        <v>24.4</v>
      </c>
      <c r="L52" s="2">
        <f t="shared" si="12"/>
        <v>24.6</v>
      </c>
      <c r="M52" s="2">
        <f t="shared" si="12"/>
        <v>24.6</v>
      </c>
      <c r="N52" s="2">
        <f t="shared" si="12"/>
        <v>25.1</v>
      </c>
      <c r="O52" s="2">
        <f t="shared" si="12"/>
        <v>25.2</v>
      </c>
      <c r="P52" s="2">
        <f t="shared" si="12"/>
        <v>25.3</v>
      </c>
      <c r="Q52" s="2">
        <f t="shared" si="12"/>
        <v>25.8</v>
      </c>
      <c r="R52" s="2">
        <f t="shared" si="12"/>
        <v>25.3</v>
      </c>
      <c r="S52" s="2">
        <f t="shared" ref="S52:AB52" si="13">MIN(S28:S47)</f>
        <v>0</v>
      </c>
      <c r="T52" s="2">
        <f>MIN(T28:T49)</f>
        <v>0.15</v>
      </c>
      <c r="U52" s="2">
        <f t="shared" si="13"/>
        <v>0</v>
      </c>
      <c r="V52" s="2">
        <f t="shared" si="13"/>
        <v>0</v>
      </c>
      <c r="W52" s="2">
        <f t="shared" si="13"/>
        <v>0</v>
      </c>
      <c r="X52" s="2">
        <f t="shared" si="13"/>
        <v>0</v>
      </c>
      <c r="Y52" s="2">
        <f t="shared" si="13"/>
        <v>0</v>
      </c>
      <c r="Z52" s="2">
        <f t="shared" si="13"/>
        <v>0</v>
      </c>
      <c r="AA52" s="2">
        <f t="shared" si="13"/>
        <v>0</v>
      </c>
      <c r="AB52" s="2">
        <f t="shared" si="13"/>
        <v>0</v>
      </c>
    </row>
    <row r="53" spans="1:28">
      <c r="A53" s="1" t="s">
        <v>53</v>
      </c>
      <c r="B53" s="1">
        <f>_xlfn.STDEV.S(B28:B49)</f>
        <v>1.6332847417456173</v>
      </c>
      <c r="C53" s="1">
        <f t="shared" ref="C53:R53" si="14">_xlfn.STDEV.S(C28:C49)</f>
        <v>1.5804336628819833</v>
      </c>
      <c r="D53" s="1">
        <f t="shared" si="14"/>
        <v>1.573756638337058</v>
      </c>
      <c r="E53" s="1">
        <f t="shared" si="14"/>
        <v>1.5086188173063255</v>
      </c>
      <c r="F53" s="1">
        <f t="shared" si="14"/>
        <v>1.5912368246224795</v>
      </c>
      <c r="G53" s="1">
        <f t="shared" si="14"/>
        <v>1.5977324299609486</v>
      </c>
      <c r="H53" s="1">
        <f t="shared" si="14"/>
        <v>1.5824866726971409</v>
      </c>
      <c r="I53" s="1">
        <f t="shared" si="14"/>
        <v>1.9417491110824818</v>
      </c>
      <c r="J53" s="1">
        <f t="shared" si="14"/>
        <v>1.6128005273825845</v>
      </c>
      <c r="K53" s="1">
        <f t="shared" si="14"/>
        <v>1.5397545764972276</v>
      </c>
      <c r="L53" s="1">
        <f t="shared" si="14"/>
        <v>1.6108667775119627</v>
      </c>
      <c r="M53" s="1">
        <f t="shared" si="14"/>
        <v>1.6735787405634068</v>
      </c>
      <c r="N53" s="1">
        <f t="shared" si="14"/>
        <v>1.673171289647944</v>
      </c>
      <c r="O53" s="1">
        <f t="shared" si="14"/>
        <v>1.7146428199482247</v>
      </c>
      <c r="P53" s="1">
        <f t="shared" si="14"/>
        <v>1.7237581011679077</v>
      </c>
      <c r="Q53" s="1">
        <f t="shared" si="14"/>
        <v>1.6834308402602693</v>
      </c>
      <c r="R53" s="1">
        <f t="shared" si="14"/>
        <v>1.8303419120895188</v>
      </c>
    </row>
    <row r="54" spans="1:28">
      <c r="A54" s="1" t="s">
        <v>54</v>
      </c>
      <c r="B54" s="1">
        <f>B53*2</f>
        <v>3.2665694834912347</v>
      </c>
      <c r="C54" s="1">
        <f t="shared" ref="C54" si="15">C53*2</f>
        <v>3.1608673257639666</v>
      </c>
      <c r="D54" s="1">
        <f t="shared" ref="D54" si="16">D53*2</f>
        <v>3.1475132766741161</v>
      </c>
      <c r="E54" s="1">
        <f t="shared" ref="E54" si="17">E53*2</f>
        <v>3.017237634612651</v>
      </c>
      <c r="F54" s="1">
        <f t="shared" ref="F54" si="18">F53*2</f>
        <v>3.182473649244959</v>
      </c>
      <c r="G54" s="1">
        <f t="shared" ref="G54" si="19">G53*2</f>
        <v>3.1954648599218971</v>
      </c>
      <c r="H54" s="1">
        <f t="shared" ref="H54" si="20">H53*2</f>
        <v>3.1649733453942819</v>
      </c>
      <c r="I54" s="1">
        <f t="shared" ref="I54" si="21">I53*2</f>
        <v>3.8834982221649637</v>
      </c>
      <c r="J54" s="1">
        <f t="shared" ref="J54" si="22">J53*2</f>
        <v>3.225601054765169</v>
      </c>
      <c r="K54" s="1">
        <f t="shared" ref="K54" si="23">K53*2</f>
        <v>3.0795091529944552</v>
      </c>
      <c r="L54" s="1">
        <f t="shared" ref="L54" si="24">L53*2</f>
        <v>3.2217335550239254</v>
      </c>
      <c r="M54" s="1">
        <f t="shared" ref="M54" si="25">M53*2</f>
        <v>3.3471574811268137</v>
      </c>
      <c r="N54" s="1">
        <f t="shared" ref="N54" si="26">N53*2</f>
        <v>3.3463425792958881</v>
      </c>
      <c r="O54" s="1">
        <f t="shared" ref="O54" si="27">O53*2</f>
        <v>3.4292856398964493</v>
      </c>
      <c r="P54" s="1">
        <f t="shared" ref="P54" si="28">P53*2</f>
        <v>3.4475162023358155</v>
      </c>
      <c r="Q54" s="1">
        <f t="shared" ref="Q54" si="29">Q53*2</f>
        <v>3.3668616805205387</v>
      </c>
      <c r="R54" s="1">
        <f t="shared" ref="R54" si="30">R53*2</f>
        <v>3.6606838241790376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508-8F31-4196-8D66-CCBE7EE9ABDA}">
  <dimension ref="A1:R7"/>
  <sheetViews>
    <sheetView topLeftCell="B1" workbookViewId="0">
      <selection activeCell="R8" sqref="R8"/>
    </sheetView>
  </sheetViews>
  <sheetFormatPr defaultRowHeight="18.75"/>
  <sheetData>
    <row r="1" spans="1:18"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  <c r="M1">
        <v>5.5</v>
      </c>
      <c r="N1">
        <v>6</v>
      </c>
      <c r="O1">
        <v>6.5</v>
      </c>
      <c r="P1">
        <v>7</v>
      </c>
      <c r="Q1">
        <v>7.5</v>
      </c>
      <c r="R1">
        <v>8</v>
      </c>
    </row>
    <row r="2" spans="1:18">
      <c r="A2" t="s">
        <v>49</v>
      </c>
      <c r="B2">
        <v>0</v>
      </c>
      <c r="D2">
        <v>34.171987348632818</v>
      </c>
      <c r="E2">
        <v>47.759973792178194</v>
      </c>
      <c r="F2">
        <v>57.5561900390625</v>
      </c>
      <c r="G2">
        <v>62.409007140345963</v>
      </c>
      <c r="H2">
        <v>69.744587675537119</v>
      </c>
      <c r="I2">
        <v>82.379574482299802</v>
      </c>
      <c r="J2">
        <v>105.85200625620118</v>
      </c>
      <c r="K2">
        <v>137.33188065722658</v>
      </c>
      <c r="L2">
        <v>175.24705168906252</v>
      </c>
      <c r="M2">
        <v>221.88845797357175</v>
      </c>
      <c r="N2">
        <v>260.63177501227682</v>
      </c>
      <c r="O2">
        <v>294.64052960379456</v>
      </c>
      <c r="P2">
        <v>369.56202658844876</v>
      </c>
      <c r="Q2">
        <v>421.74170835523614</v>
      </c>
      <c r="R2">
        <v>519.03591034082035</v>
      </c>
    </row>
    <row r="3" spans="1:18">
      <c r="A3" s="1" t="s">
        <v>55</v>
      </c>
      <c r="B3" s="1"/>
      <c r="C3" s="1"/>
      <c r="D3" s="1">
        <v>11.644184404123749</v>
      </c>
      <c r="E3" s="1">
        <v>11.588661967491495</v>
      </c>
      <c r="F3" s="1">
        <v>21.697230021206099</v>
      </c>
      <c r="G3" s="1">
        <v>26.57153354362741</v>
      </c>
      <c r="H3" s="1">
        <v>27.315358716843125</v>
      </c>
      <c r="I3" s="1">
        <v>31.636313128634036</v>
      </c>
      <c r="J3" s="1">
        <v>36.564867172675065</v>
      </c>
      <c r="K3" s="1">
        <v>54.295842566581356</v>
      </c>
      <c r="L3" s="1">
        <v>79.032459311488381</v>
      </c>
      <c r="M3" s="1">
        <v>96.709843767717743</v>
      </c>
      <c r="N3" s="1">
        <v>116.34415127735019</v>
      </c>
      <c r="O3" s="1">
        <v>126.09591000141147</v>
      </c>
      <c r="P3" s="1">
        <v>154.66436891194436</v>
      </c>
      <c r="Q3" s="1">
        <v>182.16989752395233</v>
      </c>
      <c r="R3" s="1">
        <v>227.38983914206432</v>
      </c>
    </row>
    <row r="4" spans="1:18">
      <c r="A4" t="s">
        <v>48</v>
      </c>
      <c r="B4">
        <v>0</v>
      </c>
      <c r="D4">
        <v>44.973020823996798</v>
      </c>
      <c r="E4">
        <v>60.745950261629986</v>
      </c>
      <c r="F4">
        <v>67.963458092018811</v>
      </c>
      <c r="G4">
        <v>73.561639944646672</v>
      </c>
      <c r="H4">
        <v>87.032982900390635</v>
      </c>
      <c r="I4">
        <v>105.38706559407549</v>
      </c>
      <c r="J4">
        <v>122.47231166845704</v>
      </c>
      <c r="K4">
        <v>154.3299305350231</v>
      </c>
      <c r="L4">
        <v>197.29329000181997</v>
      </c>
      <c r="M4">
        <v>244.69147944428173</v>
      </c>
      <c r="N4">
        <v>324.71464190616132</v>
      </c>
      <c r="O4">
        <v>394.32602715611671</v>
      </c>
      <c r="P4">
        <v>473.57200337304675</v>
      </c>
      <c r="Q4">
        <v>594.11752576655726</v>
      </c>
      <c r="R4">
        <v>678.01947868860987</v>
      </c>
    </row>
    <row r="5" spans="1:18">
      <c r="A5" s="2" t="s">
        <v>51</v>
      </c>
      <c r="D5">
        <v>25.445785773718477</v>
      </c>
      <c r="E5">
        <v>40.547047993631367</v>
      </c>
      <c r="F5">
        <v>30.814651734726613</v>
      </c>
      <c r="G5">
        <v>21.946205666794491</v>
      </c>
      <c r="H5">
        <v>21.878285747619934</v>
      </c>
      <c r="I5">
        <v>32.161567915295116</v>
      </c>
      <c r="J5">
        <v>47.273510564759633</v>
      </c>
      <c r="K5">
        <v>60.464816279848257</v>
      </c>
      <c r="L5">
        <v>70.210995736690322</v>
      </c>
      <c r="M5">
        <v>77.691663305297936</v>
      </c>
      <c r="N5">
        <v>107.05503562036191</v>
      </c>
      <c r="O5">
        <v>131.99835857589724</v>
      </c>
      <c r="P5">
        <v>159.59325030780317</v>
      </c>
      <c r="Q5">
        <v>207.48118341350812</v>
      </c>
      <c r="R5">
        <v>229.33103309735776</v>
      </c>
    </row>
    <row r="7" spans="1:18">
      <c r="M7" t="s">
        <v>56</v>
      </c>
      <c r="N7">
        <v>6.7799999999999999E-2</v>
      </c>
      <c r="O7">
        <v>1.52E-2</v>
      </c>
      <c r="P7">
        <v>3.5799999999999998E-2</v>
      </c>
      <c r="Q7">
        <v>6.0099999999999997E-3</v>
      </c>
      <c r="R7">
        <v>2.7699999999999999E-2</v>
      </c>
    </row>
  </sheetData>
  <phoneticPr fontId="1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rism6.Document" shapeId="2050" r:id="rId3">
          <objectPr defaultSize="0" autoPict="0" r:id="rId4">
            <anchor moveWithCells="1">
              <from>
                <xdr:col>12</xdr:col>
                <xdr:colOff>504825</xdr:colOff>
                <xdr:row>14</xdr:row>
                <xdr:rowOff>47625</xdr:rowOff>
              </from>
              <to>
                <xdr:col>18</xdr:col>
                <xdr:colOff>371475</xdr:colOff>
                <xdr:row>26</xdr:row>
                <xdr:rowOff>161925</xdr:rowOff>
              </to>
            </anchor>
          </objectPr>
        </oleObject>
      </mc:Choice>
      <mc:Fallback>
        <oleObject progId="Prism6.Document" shapeId="2050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8BD1-D4C6-480D-BEA5-E52DD385071D}">
  <dimension ref="A1:R5"/>
  <sheetViews>
    <sheetView tabSelected="1" topLeftCell="A7" workbookViewId="0">
      <selection activeCell="M16" sqref="M16"/>
    </sheetView>
  </sheetViews>
  <sheetFormatPr defaultRowHeight="18.75"/>
  <sheetData>
    <row r="1" spans="1:18"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  <c r="M1">
        <v>5.5</v>
      </c>
      <c r="N1">
        <v>6</v>
      </c>
      <c r="O1">
        <v>6.5</v>
      </c>
      <c r="P1">
        <v>7</v>
      </c>
      <c r="Q1">
        <v>7.5</v>
      </c>
      <c r="R1">
        <v>8</v>
      </c>
    </row>
    <row r="2" spans="1:18">
      <c r="A2" t="s">
        <v>49</v>
      </c>
      <c r="B2">
        <v>23.090476190476188</v>
      </c>
      <c r="C2">
        <v>23.638095238095236</v>
      </c>
      <c r="D2">
        <v>24.06666666666667</v>
      </c>
      <c r="E2">
        <v>24.466666666666665</v>
      </c>
      <c r="F2">
        <v>24.93333333333333</v>
      </c>
      <c r="G2">
        <v>25.238095238095234</v>
      </c>
      <c r="H2">
        <v>25.709523809523812</v>
      </c>
      <c r="I2">
        <v>26.195238095238096</v>
      </c>
      <c r="J2">
        <v>26.480952380952381</v>
      </c>
      <c r="K2">
        <v>27.114285714285717</v>
      </c>
      <c r="L2">
        <v>27.457142857142852</v>
      </c>
      <c r="M2">
        <v>27.647619047619052</v>
      </c>
      <c r="N2">
        <v>28.023809523809526</v>
      </c>
      <c r="O2">
        <v>28.385714285714286</v>
      </c>
      <c r="P2">
        <v>28.599999999999994</v>
      </c>
      <c r="Q2">
        <v>28.809523809523814</v>
      </c>
      <c r="R2">
        <v>29.014285714285705</v>
      </c>
    </row>
    <row r="3" spans="1:18">
      <c r="A3" s="1" t="s">
        <v>55</v>
      </c>
      <c r="B3" s="1">
        <v>1.7302903692457985</v>
      </c>
      <c r="C3" s="1">
        <v>1.6566460667493799</v>
      </c>
      <c r="D3" s="1">
        <v>1.7324356649911519</v>
      </c>
      <c r="E3" s="1">
        <v>1.8515759053663814</v>
      </c>
      <c r="F3" s="1">
        <v>1.8262894987743132</v>
      </c>
      <c r="G3" s="1">
        <v>1.6797250341874974</v>
      </c>
      <c r="H3" s="1">
        <v>1.7598024780937098</v>
      </c>
      <c r="I3" s="1">
        <v>1.7362246946971436</v>
      </c>
      <c r="J3" s="1">
        <v>1.7066396947273457</v>
      </c>
      <c r="K3" s="1">
        <v>1.5997767701419201</v>
      </c>
      <c r="L3" s="1">
        <v>1.8467732477408882</v>
      </c>
      <c r="M3" s="1">
        <v>1.6618119772161497</v>
      </c>
      <c r="N3" s="1">
        <v>1.7885482274472675</v>
      </c>
      <c r="O3" s="1">
        <v>1.9079532788529476</v>
      </c>
      <c r="P3" s="1">
        <v>1.8899735447883921</v>
      </c>
      <c r="Q3" s="1">
        <v>1.918047121919783</v>
      </c>
      <c r="R3" s="1">
        <v>1.8652843521258933</v>
      </c>
    </row>
    <row r="4" spans="1:18">
      <c r="A4" t="s">
        <v>48</v>
      </c>
      <c r="B4">
        <v>22.900000000000002</v>
      </c>
      <c r="C4">
        <v>23.540909090909096</v>
      </c>
      <c r="D4">
        <v>23.936363636363634</v>
      </c>
      <c r="E4">
        <v>24.45454545454546</v>
      </c>
      <c r="F4">
        <v>24.881818181818176</v>
      </c>
      <c r="G4">
        <v>25.231818181818184</v>
      </c>
      <c r="H4">
        <v>25.695454545454542</v>
      </c>
      <c r="I4">
        <v>25.690909090909091</v>
      </c>
      <c r="J4">
        <v>26.372727272727271</v>
      </c>
      <c r="K4">
        <v>26.831818181818186</v>
      </c>
      <c r="L4">
        <v>27.218181818181815</v>
      </c>
      <c r="M4">
        <v>27.209090909090911</v>
      </c>
      <c r="N4">
        <v>27.604545454545459</v>
      </c>
      <c r="O4">
        <v>28.000000000000004</v>
      </c>
      <c r="P4">
        <v>28.109090909090909</v>
      </c>
      <c r="Q4">
        <v>28.318181818181817</v>
      </c>
      <c r="R4">
        <v>28.65909090909091</v>
      </c>
    </row>
    <row r="5" spans="1:18">
      <c r="A5" s="2" t="s">
        <v>51</v>
      </c>
      <c r="B5">
        <v>1.6332847417456173</v>
      </c>
      <c r="C5">
        <v>1.5804336628819833</v>
      </c>
      <c r="D5">
        <v>1.573756638337058</v>
      </c>
      <c r="E5">
        <v>1.5086188173063255</v>
      </c>
      <c r="F5">
        <v>1.5912368246224795</v>
      </c>
      <c r="G5">
        <v>1.5977324299609486</v>
      </c>
      <c r="H5">
        <v>1.5824866726971409</v>
      </c>
      <c r="I5">
        <v>1.9417491110824818</v>
      </c>
      <c r="J5">
        <v>1.6128005273825845</v>
      </c>
      <c r="K5">
        <v>1.5397545764972276</v>
      </c>
      <c r="L5">
        <v>1.6108667775119627</v>
      </c>
      <c r="M5">
        <v>1.6735787405634068</v>
      </c>
      <c r="N5">
        <v>1.673171289647944</v>
      </c>
      <c r="O5">
        <v>1.7146428199482247</v>
      </c>
      <c r="P5">
        <v>1.7237581011679077</v>
      </c>
      <c r="Q5">
        <v>1.6834308402602693</v>
      </c>
      <c r="R5">
        <v>1.8303419120895188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tumor (♂　8) (3)</vt:lpstr>
      <vt:lpstr>BW  (♂) 計測</vt:lpstr>
      <vt:lpstr>tumor size graph</vt:lpstr>
      <vt:lpstr>BW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伊藤喜介</dc:creator>
  <cp:lastModifiedBy>喜介 伊藤</cp:lastModifiedBy>
  <dcterms:created xsi:type="dcterms:W3CDTF">2015-06-05T18:19:34Z</dcterms:created>
  <dcterms:modified xsi:type="dcterms:W3CDTF">2026-05-29T12:39:26Z</dcterms:modified>
</cp:coreProperties>
</file>