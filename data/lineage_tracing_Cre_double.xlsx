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IoTB_CBDL_CreT解析/CBDL/"/>
    </mc:Choice>
  </mc:AlternateContent>
  <xr:revisionPtr revIDLastSave="237" documentId="11_AD4D066CA252ABDACC10488F29D3D93673EEDF52" xr6:coauthVersionLast="47" xr6:coauthVersionMax="47" xr10:uidLastSave="{C4992C5D-A71B-461E-92CF-117F5B03C936}"/>
  <bookViews>
    <workbookView xWindow="8100" yWindow="345" windowWidth="19560" windowHeight="19965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2" i="2"/>
  <c r="F19" i="2"/>
  <c r="E19" i="2"/>
  <c r="F18" i="2"/>
  <c r="E18" i="2"/>
  <c r="F17" i="2"/>
  <c r="E17" i="2"/>
  <c r="F16" i="2"/>
  <c r="G16" i="2" s="1"/>
  <c r="I16" i="2" s="1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G9" i="2" s="1"/>
  <c r="J9" i="2" s="1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3" i="1"/>
  <c r="E4" i="1"/>
  <c r="E5" i="1"/>
  <c r="E6" i="1"/>
  <c r="E7" i="1"/>
  <c r="E8" i="1"/>
  <c r="E9" i="1"/>
  <c r="E10" i="1"/>
  <c r="E11" i="1"/>
  <c r="G11" i="1" s="1"/>
  <c r="E12" i="1"/>
  <c r="E13" i="1"/>
  <c r="E14" i="1"/>
  <c r="E15" i="1"/>
  <c r="E16" i="1"/>
  <c r="E17" i="1"/>
  <c r="G17" i="1" s="1"/>
  <c r="I17" i="1" s="1"/>
  <c r="E18" i="1"/>
  <c r="G18" i="1" s="1"/>
  <c r="E19" i="1"/>
  <c r="G19" i="1" s="1"/>
  <c r="E2" i="1"/>
  <c r="G13" i="2" l="1"/>
  <c r="J13" i="2" s="1"/>
  <c r="G5" i="2"/>
  <c r="I5" i="2" s="1"/>
  <c r="G17" i="2"/>
  <c r="I17" i="2" s="1"/>
  <c r="H16" i="2"/>
  <c r="J7" i="2"/>
  <c r="H11" i="2"/>
  <c r="H14" i="2"/>
  <c r="G19" i="2"/>
  <c r="I19" i="2" s="1"/>
  <c r="G4" i="2"/>
  <c r="I4" i="2" s="1"/>
  <c r="G8" i="2"/>
  <c r="I8" i="2" s="1"/>
  <c r="G12" i="2"/>
  <c r="I12" i="2" s="1"/>
  <c r="G3" i="2"/>
  <c r="I3" i="2" s="1"/>
  <c r="G7" i="2"/>
  <c r="I7" i="2" s="1"/>
  <c r="G11" i="2"/>
  <c r="I11" i="2" s="1"/>
  <c r="G15" i="2"/>
  <c r="I15" i="2" s="1"/>
  <c r="J16" i="2"/>
  <c r="H9" i="2"/>
  <c r="I13" i="2"/>
  <c r="J5" i="2"/>
  <c r="G6" i="2"/>
  <c r="G10" i="2"/>
  <c r="G14" i="2"/>
  <c r="G18" i="2"/>
  <c r="I18" i="2" s="1"/>
  <c r="H5" i="2"/>
  <c r="H13" i="2"/>
  <c r="I9" i="2"/>
  <c r="G2" i="2"/>
  <c r="H2" i="2" s="1"/>
  <c r="G3" i="1"/>
  <c r="I3" i="1" s="1"/>
  <c r="G10" i="1"/>
  <c r="J19" i="1"/>
  <c r="J18" i="1"/>
  <c r="J10" i="1"/>
  <c r="H17" i="1"/>
  <c r="J11" i="1"/>
  <c r="H16" i="1"/>
  <c r="J17" i="1"/>
  <c r="G16" i="1"/>
  <c r="I16" i="1" s="1"/>
  <c r="J16" i="1"/>
  <c r="G9" i="1"/>
  <c r="I9" i="1" s="1"/>
  <c r="G8" i="1"/>
  <c r="I8" i="1" s="1"/>
  <c r="I19" i="1"/>
  <c r="H19" i="1"/>
  <c r="H11" i="1"/>
  <c r="I11" i="1"/>
  <c r="I18" i="1"/>
  <c r="H18" i="1"/>
  <c r="I10" i="1"/>
  <c r="H10" i="1"/>
  <c r="G15" i="1"/>
  <c r="I15" i="1" s="1"/>
  <c r="G7" i="1"/>
  <c r="I7" i="1" s="1"/>
  <c r="G14" i="1"/>
  <c r="I14" i="1" s="1"/>
  <c r="G6" i="1"/>
  <c r="I6" i="1" s="1"/>
  <c r="G13" i="1"/>
  <c r="I13" i="1" s="1"/>
  <c r="G5" i="1"/>
  <c r="I5" i="1" s="1"/>
  <c r="G2" i="1"/>
  <c r="I2" i="1" s="1"/>
  <c r="G12" i="1"/>
  <c r="I12" i="1" s="1"/>
  <c r="G4" i="1"/>
  <c r="I4" i="1" s="1"/>
  <c r="J3" i="2" l="1"/>
  <c r="J12" i="2"/>
  <c r="H12" i="2"/>
  <c r="J15" i="2"/>
  <c r="J8" i="2"/>
  <c r="J17" i="2"/>
  <c r="H8" i="2"/>
  <c r="H17" i="2"/>
  <c r="J19" i="2"/>
  <c r="J14" i="2"/>
  <c r="I14" i="2"/>
  <c r="H4" i="2"/>
  <c r="J10" i="2"/>
  <c r="I10" i="2"/>
  <c r="H18" i="2"/>
  <c r="H19" i="2"/>
  <c r="H15" i="2"/>
  <c r="I6" i="2"/>
  <c r="J6" i="2"/>
  <c r="J11" i="2"/>
  <c r="H10" i="2"/>
  <c r="J2" i="2"/>
  <c r="I2" i="2"/>
  <c r="H7" i="2"/>
  <c r="H3" i="2"/>
  <c r="J18" i="2"/>
  <c r="J4" i="2"/>
  <c r="H6" i="2"/>
  <c r="J13" i="1"/>
  <c r="H3" i="1"/>
  <c r="J3" i="1"/>
  <c r="J8" i="1"/>
  <c r="H9" i="1"/>
  <c r="H8" i="1"/>
  <c r="J9" i="1"/>
  <c r="J5" i="1"/>
  <c r="H5" i="1"/>
  <c r="H7" i="1"/>
  <c r="J14" i="1"/>
  <c r="J7" i="1"/>
  <c r="J12" i="1"/>
  <c r="H4" i="1"/>
  <c r="J2" i="1"/>
  <c r="H12" i="1"/>
  <c r="H13" i="1"/>
  <c r="H6" i="1"/>
  <c r="H14" i="1"/>
  <c r="J6" i="1"/>
  <c r="J4" i="1"/>
  <c r="J15" i="1"/>
  <c r="H2" i="1"/>
  <c r="H15" i="1"/>
</calcChain>
</file>

<file path=xl/sharedStrings.xml><?xml version="1.0" encoding="utf-8"?>
<sst xmlns="http://schemas.openxmlformats.org/spreadsheetml/2006/main" count="115" uniqueCount="39">
  <si>
    <t>RFP+</t>
    <phoneticPr fontId="1"/>
  </si>
  <si>
    <t>Merge</t>
    <phoneticPr fontId="1"/>
  </si>
  <si>
    <t>CBDL 1w_01_acta2_RFP_x20_02.csv</t>
  </si>
  <si>
    <t>CBDL 1w_01_Col1a1_RFP_x20_01.csv</t>
  </si>
  <si>
    <t>CBDL 1w_01_Col1a1_RFP_x20_02.csv</t>
  </si>
  <si>
    <t>CBDL 1w_01_Pdgfrb_RFP_x20_01.csv</t>
  </si>
  <si>
    <t>CBDL 1w_01_Pdgfrb_RFP_x20_02.csv</t>
  </si>
  <si>
    <t>CBDL 1w_02_acta2_RFP_x20_01.csv</t>
  </si>
  <si>
    <t>CBDL 1w_02_acta2_RFP_x20_02.csv</t>
  </si>
  <si>
    <t>CBDL 1w_02_Col1a1_RFP_x20_01.csv</t>
  </si>
  <si>
    <t>CBDL 1w_02_Col1a1_RFP_x20_02.csv</t>
  </si>
  <si>
    <t>CBDL 1w_02_Pdgfrb_RFP_x20_01.csv</t>
  </si>
  <si>
    <t>CBDL 1w_02_Pdgfrb_RFP_x20_02.csv</t>
  </si>
  <si>
    <t>CBDL 1w_02_Pdgfrb_RFP_x20_03.csv</t>
  </si>
  <si>
    <t>CBDL 1w_05_acta2_RFP_x20_01.csv</t>
  </si>
  <si>
    <t>CBDL 1w_05_Col1a1_RFP_x20_01.csv</t>
  </si>
  <si>
    <t>CBDL 1w_05_Col1a1_RFP_x20_02.csv</t>
  </si>
  <si>
    <t>CBDL 1w_05_Col1a1_RFP_x20_03.csv</t>
  </si>
  <si>
    <t>CBDL 1w_05_Pdgfrb_RFP_x20_01.csv</t>
  </si>
  <si>
    <t>CBDL 1w_01_acta2_RFP_x20_01.csv</t>
  </si>
  <si>
    <t>ISH+</t>
    <phoneticPr fontId="1"/>
  </si>
  <si>
    <t>RFP+/ISH-</t>
    <phoneticPr fontId="1"/>
  </si>
  <si>
    <t>RFP-/ISH+</t>
    <phoneticPr fontId="1"/>
  </si>
  <si>
    <t>RFP%</t>
    <phoneticPr fontId="1"/>
  </si>
  <si>
    <t>Merge%</t>
    <phoneticPr fontId="1"/>
  </si>
  <si>
    <t>ISH%</t>
    <phoneticPr fontId="1"/>
  </si>
  <si>
    <t>total</t>
    <phoneticPr fontId="1"/>
  </si>
  <si>
    <t>CBDL 1w_01_acta2_RFP</t>
    <phoneticPr fontId="1"/>
  </si>
  <si>
    <t>CBDL 1w_01_Col1a1_RFP</t>
    <phoneticPr fontId="1"/>
  </si>
  <si>
    <t>CBDL 1w_01_Pdgfrb_RFP</t>
    <phoneticPr fontId="1"/>
  </si>
  <si>
    <t>CBDL Col1a1</t>
    <phoneticPr fontId="1"/>
  </si>
  <si>
    <t>RFP sd</t>
    <phoneticPr fontId="1"/>
  </si>
  <si>
    <t>Merge sd</t>
    <phoneticPr fontId="1"/>
  </si>
  <si>
    <t>ISH sd</t>
    <phoneticPr fontId="1"/>
  </si>
  <si>
    <t>CBDL Acta2</t>
    <phoneticPr fontId="1"/>
  </si>
  <si>
    <t>CBDL Pdgfrb</t>
    <phoneticPr fontId="1"/>
  </si>
  <si>
    <t>acta2</t>
    <phoneticPr fontId="1"/>
  </si>
  <si>
    <t>col1</t>
    <phoneticPr fontId="1"/>
  </si>
  <si>
    <t>Pb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</si>
</sst>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Col1a1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Sheet1!$E$31</c:f>
                <c:numCache>
                  <c:formatCode>General</c:formatCode>
                  <c:ptCount val="1"/>
                  <c:pt idx="0">
                    <c:v>8.2395932129573008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Sheet1!$B$31</c:f>
              <c:numCache>
                <c:formatCode>General</c:formatCode>
                <c:ptCount val="1"/>
                <c:pt idx="0">
                  <c:v>11.8944664366458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0-4FFC-8FBD-B644857BD58E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Sheet1!$F$31</c:f>
                <c:numCache>
                  <c:formatCode>General</c:formatCode>
                  <c:ptCount val="1"/>
                  <c:pt idx="0">
                    <c:v>6.9770658118401565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Sheet1!$C$31</c:f>
              <c:numCache>
                <c:formatCode>General</c:formatCode>
                <c:ptCount val="1"/>
                <c:pt idx="0">
                  <c:v>26.493547526442882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0-4FFC-8FBD-B644857BD58E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Sheet1!$G$31</c:f>
                <c:numCache>
                  <c:formatCode>General</c:formatCode>
                  <c:ptCount val="1"/>
                  <c:pt idx="0">
                    <c:v>13.634329842354123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Sheet1!$D$31</c:f>
              <c:numCache>
                <c:formatCode>General</c:formatCode>
                <c:ptCount val="1"/>
                <c:pt idx="0">
                  <c:v>61.611986036911283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0-4FFC-8FBD-B644857BD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9042111"/>
        <c:axId val="1709041151"/>
      </c:barChart>
      <c:catAx>
        <c:axId val="170904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041151"/>
        <c:crosses val="autoZero"/>
        <c:auto val="1"/>
        <c:lblAlgn val="ctr"/>
        <c:lblOffset val="100"/>
        <c:noMultiLvlLbl val="0"/>
      </c:catAx>
      <c:valAx>
        <c:axId val="1709041151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0421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Acta2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Sheet1!$E$32</c:f>
                <c:numCache>
                  <c:formatCode>General</c:formatCode>
                  <c:ptCount val="1"/>
                  <c:pt idx="0">
                    <c:v>18.480625910526587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Sheet1!$B$32</c:f>
              <c:numCache>
                <c:formatCode>General</c:formatCode>
                <c:ptCount val="1"/>
                <c:pt idx="0">
                  <c:v>34.206000550790201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C-4472-8E1D-ADA6631A2D52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Sheet1!$F$32</c:f>
                <c:numCache>
                  <c:formatCode>General</c:formatCode>
                  <c:ptCount val="1"/>
                  <c:pt idx="0">
                    <c:v>8.6933417862989373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Sheet1!$C$32</c:f>
              <c:numCache>
                <c:formatCode>General</c:formatCode>
                <c:ptCount val="1"/>
                <c:pt idx="0">
                  <c:v>29.996782247452689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C-4472-8E1D-ADA6631A2D52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Sheet1!$G$32</c:f>
                <c:numCache>
                  <c:formatCode>General</c:formatCode>
                  <c:ptCount val="1"/>
                  <c:pt idx="0">
                    <c:v>10.536859638799534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Sheet1!$D$32</c:f>
              <c:numCache>
                <c:formatCode>General</c:formatCode>
                <c:ptCount val="1"/>
                <c:pt idx="0">
                  <c:v>35.797217201757114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C-4472-8E1D-ADA6631A2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9042111"/>
        <c:axId val="1709041151"/>
      </c:barChart>
      <c:catAx>
        <c:axId val="170904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041151"/>
        <c:crosses val="autoZero"/>
        <c:auto val="1"/>
        <c:lblAlgn val="ctr"/>
        <c:lblOffset val="100"/>
        <c:noMultiLvlLbl val="0"/>
      </c:catAx>
      <c:valAx>
        <c:axId val="1709041151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0421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Pdgfrb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Sheet1!$E$33</c:f>
                <c:numCache>
                  <c:formatCode>General</c:formatCode>
                  <c:ptCount val="1"/>
                  <c:pt idx="0">
                    <c:v>6.4204686285544463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Sheet1!$B$33</c:f>
              <c:numCache>
                <c:formatCode>General</c:formatCode>
                <c:ptCount val="1"/>
                <c:pt idx="0">
                  <c:v>6.9169748574465943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6-4F26-B392-3D71498ADE99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Sheet1!$F$33</c:f>
                <c:numCache>
                  <c:formatCode>General</c:formatCode>
                  <c:ptCount val="1"/>
                  <c:pt idx="0">
                    <c:v>4.0347821074045775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Sheet1!$C$33</c:f>
              <c:numCache>
                <c:formatCode>General</c:formatCode>
                <c:ptCount val="1"/>
                <c:pt idx="0">
                  <c:v>20.476513816793233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6-4F26-B392-3D71498ADE99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Sheet1!$G$33</c:f>
                <c:numCache>
                  <c:formatCode>General</c:formatCode>
                  <c:ptCount val="1"/>
                  <c:pt idx="0">
                    <c:v>8.4786525743160972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Sheet1!$D$33</c:f>
              <c:numCache>
                <c:formatCode>General</c:formatCode>
                <c:ptCount val="1"/>
                <c:pt idx="0">
                  <c:v>72.606511325760167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6-4F26-B392-3D71498AD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9042111"/>
        <c:axId val="1709041151"/>
      </c:barChart>
      <c:catAx>
        <c:axId val="1709042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041151"/>
        <c:crosses val="autoZero"/>
        <c:auto val="1"/>
        <c:lblAlgn val="ctr"/>
        <c:lblOffset val="100"/>
        <c:noMultiLvlLbl val="0"/>
      </c:catAx>
      <c:valAx>
        <c:axId val="1709041151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0421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471487</xdr:colOff>
      <xdr:row>8</xdr:row>
      <xdr:rowOff>85725</xdr:rowOff>
    </xdr:from>
    <xdr:to>
      <xdr:col>5</xdr:col>
      <xdr:colOff>476250</xdr:colOff>
      <xdr:row>22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EE279D-246A-C483-4E63-1C88B9940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790575</xdr:colOff>
      <xdr:row>8</xdr:row>
      <xdr:rowOff>47625</xdr:rowOff>
    </xdr:from>
    <xdr:to>
      <xdr:col>8</xdr:col>
      <xdr:colOff>614363</xdr:colOff>
      <xdr:row>22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545E5EE-FC37-49BA-B441-C52421361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1524000</xdr:colOff>
      <xdr:row>8</xdr:row>
      <xdr:rowOff>200025</xdr:rowOff>
    </xdr:from>
    <xdr:to>
      <xdr:col>2</xdr:col>
      <xdr:colOff>261938</xdr:colOff>
      <xdr:row>23</xdr:row>
      <xdr:rowOff>38100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C49427B-A551-43A1-972D-25F35476F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>
      <selection activeCell="B25" sqref="B25"/>
    </sheetView>
  </sheetViews>
  <sheetFormatPr defaultRowHeight="18.75"/>
  <cols>
    <col min="1" max="1" width="37" bestFit="1" customWidth="1"/>
    <col min="5" max="6" width="11.375" bestFit="1" customWidth="1"/>
    <col min="7" max="7" width="11.375" customWidth="1"/>
  </cols>
  <sheetData>
    <row r="1" spans="1:10">
      <c r="B1" t="s">
        <v>0</v>
      </c>
      <c r="C1" t="s">
        <v>20</v>
      </c>
      <c r="D1" t="s">
        <v>1</v>
      </c>
      <c r="E1" t="s">
        <v>21</v>
      </c>
      <c r="F1" t="s">
        <v>22</v>
      </c>
      <c r="G1" t="s">
        <v>26</v>
      </c>
      <c r="H1" t="s">
        <v>23</v>
      </c>
      <c r="I1" t="s">
        <v>24</v>
      </c>
      <c r="J1" t="s">
        <v>25</v>
      </c>
    </row>
    <row r="2" spans="1:10">
      <c r="A2" t="s">
        <v>19</v>
      </c>
      <c r="B2">
        <v>344</v>
      </c>
      <c r="C2">
        <v>254</v>
      </c>
      <c r="D2">
        <v>129</v>
      </c>
      <c r="E2">
        <f>B2-D2</f>
        <v>215</v>
      </c>
      <c r="F2">
        <f>C2-D2</f>
        <v>125</v>
      </c>
      <c r="G2">
        <f>D2+E2+F2</f>
        <v>469</v>
      </c>
      <c r="H2">
        <f>E2/G2%</f>
        <v>45.842217484008522</v>
      </c>
      <c r="I2">
        <f>D2/G2%</f>
        <v>27.505330490405115</v>
      </c>
      <c r="J2">
        <f>F2/G2%</f>
        <v>26.652452025586353</v>
      </c>
    </row>
    <row r="3" spans="1:10">
      <c r="A3" t="s">
        <v>2</v>
      </c>
      <c r="B3">
        <v>179</v>
      </c>
      <c r="C3">
        <v>292</v>
      </c>
      <c r="D3">
        <v>100</v>
      </c>
      <c r="E3">
        <f t="shared" ref="E3:E19" si="0">B3-D3</f>
        <v>79</v>
      </c>
      <c r="F3">
        <f t="shared" ref="F3:F19" si="1">C3-D3</f>
        <v>192</v>
      </c>
      <c r="G3">
        <f t="shared" ref="G3:G19" si="2">D3+E3+F3</f>
        <v>371</v>
      </c>
      <c r="H3">
        <f t="shared" ref="H3:H19" si="3">E3/G3%</f>
        <v>21.293800539083559</v>
      </c>
      <c r="I3">
        <f t="shared" ref="I3:I19" si="4">D3/G3%</f>
        <v>26.954177897574123</v>
      </c>
      <c r="J3">
        <f t="shared" ref="J3:J19" si="5">F3/G3%</f>
        <v>51.752021563342318</v>
      </c>
    </row>
    <row r="4" spans="1:10">
      <c r="A4" t="s">
        <v>3</v>
      </c>
      <c r="B4">
        <v>127</v>
      </c>
      <c r="C4">
        <v>568</v>
      </c>
      <c r="D4">
        <v>120</v>
      </c>
      <c r="E4">
        <f t="shared" si="0"/>
        <v>7</v>
      </c>
      <c r="F4">
        <f t="shared" si="1"/>
        <v>448</v>
      </c>
      <c r="G4">
        <f t="shared" si="2"/>
        <v>575</v>
      </c>
      <c r="H4">
        <f t="shared" si="3"/>
        <v>1.2173913043478262</v>
      </c>
      <c r="I4">
        <f t="shared" si="4"/>
        <v>20.869565217391305</v>
      </c>
      <c r="J4">
        <f t="shared" si="5"/>
        <v>77.913043478260875</v>
      </c>
    </row>
    <row r="5" spans="1:10">
      <c r="A5" t="s">
        <v>4</v>
      </c>
      <c r="B5">
        <v>136</v>
      </c>
      <c r="C5">
        <v>458</v>
      </c>
      <c r="D5">
        <v>82</v>
      </c>
      <c r="E5">
        <f t="shared" si="0"/>
        <v>54</v>
      </c>
      <c r="F5">
        <f t="shared" si="1"/>
        <v>376</v>
      </c>
      <c r="G5">
        <f t="shared" si="2"/>
        <v>512</v>
      </c>
      <c r="H5">
        <f t="shared" si="3"/>
        <v>10.546875</v>
      </c>
      <c r="I5">
        <f t="shared" si="4"/>
        <v>16.015625</v>
      </c>
      <c r="J5">
        <f t="shared" si="5"/>
        <v>73.4375</v>
      </c>
    </row>
    <row r="6" spans="1:10">
      <c r="A6" t="s">
        <v>5</v>
      </c>
      <c r="B6">
        <v>135</v>
      </c>
      <c r="C6">
        <v>278</v>
      </c>
      <c r="D6">
        <v>66</v>
      </c>
      <c r="E6">
        <f t="shared" si="0"/>
        <v>69</v>
      </c>
      <c r="F6">
        <f t="shared" si="1"/>
        <v>212</v>
      </c>
      <c r="G6">
        <f t="shared" si="2"/>
        <v>347</v>
      </c>
      <c r="H6">
        <f t="shared" si="3"/>
        <v>19.884726224783861</v>
      </c>
      <c r="I6">
        <f t="shared" si="4"/>
        <v>19.020172910662822</v>
      </c>
      <c r="J6">
        <f t="shared" si="5"/>
        <v>61.095100864553309</v>
      </c>
    </row>
    <row r="7" spans="1:10">
      <c r="A7" t="s">
        <v>6</v>
      </c>
      <c r="B7">
        <v>197</v>
      </c>
      <c r="C7">
        <v>526</v>
      </c>
      <c r="D7">
        <v>147</v>
      </c>
      <c r="E7">
        <f t="shared" si="0"/>
        <v>50</v>
      </c>
      <c r="F7">
        <f t="shared" si="1"/>
        <v>379</v>
      </c>
      <c r="G7">
        <f t="shared" si="2"/>
        <v>576</v>
      </c>
      <c r="H7">
        <f t="shared" si="3"/>
        <v>8.6805555555555554</v>
      </c>
      <c r="I7">
        <f t="shared" si="4"/>
        <v>25.520833333333336</v>
      </c>
      <c r="J7">
        <f t="shared" si="5"/>
        <v>65.798611111111114</v>
      </c>
    </row>
    <row r="8" spans="1:10">
      <c r="A8" t="s">
        <v>7</v>
      </c>
      <c r="B8">
        <v>191</v>
      </c>
      <c r="C8">
        <v>149</v>
      </c>
      <c r="D8">
        <v>67</v>
      </c>
      <c r="E8">
        <f t="shared" si="0"/>
        <v>124</v>
      </c>
      <c r="F8">
        <f t="shared" si="1"/>
        <v>82</v>
      </c>
      <c r="G8">
        <f t="shared" si="2"/>
        <v>273</v>
      </c>
      <c r="H8">
        <f t="shared" si="3"/>
        <v>45.421245421245423</v>
      </c>
      <c r="I8">
        <f t="shared" si="4"/>
        <v>24.542124542124544</v>
      </c>
      <c r="J8">
        <f t="shared" si="5"/>
        <v>30.036630036630036</v>
      </c>
    </row>
    <row r="9" spans="1:10">
      <c r="A9" t="s">
        <v>8</v>
      </c>
      <c r="B9">
        <v>229</v>
      </c>
      <c r="C9">
        <v>110</v>
      </c>
      <c r="D9">
        <v>60</v>
      </c>
      <c r="E9">
        <f t="shared" si="0"/>
        <v>169</v>
      </c>
      <c r="F9">
        <f t="shared" si="1"/>
        <v>50</v>
      </c>
      <c r="G9">
        <f t="shared" si="2"/>
        <v>279</v>
      </c>
      <c r="H9">
        <f t="shared" si="3"/>
        <v>60.573476702508962</v>
      </c>
      <c r="I9">
        <f t="shared" si="4"/>
        <v>21.50537634408602</v>
      </c>
      <c r="J9">
        <f t="shared" si="5"/>
        <v>17.921146953405017</v>
      </c>
    </row>
    <row r="10" spans="1:10">
      <c r="A10" t="s">
        <v>9</v>
      </c>
      <c r="B10">
        <v>19</v>
      </c>
      <c r="C10">
        <v>180</v>
      </c>
      <c r="D10">
        <v>11</v>
      </c>
      <c r="E10">
        <f t="shared" si="0"/>
        <v>8</v>
      </c>
      <c r="F10">
        <f t="shared" si="1"/>
        <v>169</v>
      </c>
      <c r="G10">
        <f t="shared" si="2"/>
        <v>188</v>
      </c>
      <c r="H10">
        <f t="shared" si="3"/>
        <v>4.2553191489361701</v>
      </c>
      <c r="I10">
        <f t="shared" si="4"/>
        <v>5.8510638297872344</v>
      </c>
      <c r="J10">
        <f t="shared" si="5"/>
        <v>89.893617021276597</v>
      </c>
    </row>
    <row r="11" spans="1:10">
      <c r="A11" t="s">
        <v>10</v>
      </c>
      <c r="B11">
        <v>398</v>
      </c>
      <c r="C11">
        <v>264</v>
      </c>
      <c r="D11">
        <v>234</v>
      </c>
      <c r="E11">
        <f t="shared" si="0"/>
        <v>164</v>
      </c>
      <c r="F11">
        <f t="shared" si="1"/>
        <v>30</v>
      </c>
      <c r="G11">
        <f t="shared" si="2"/>
        <v>428</v>
      </c>
      <c r="H11">
        <f t="shared" si="3"/>
        <v>38.31775700934579</v>
      </c>
      <c r="I11">
        <f t="shared" si="4"/>
        <v>54.67289719626168</v>
      </c>
      <c r="J11">
        <f t="shared" si="5"/>
        <v>7.009345794392523</v>
      </c>
    </row>
    <row r="12" spans="1:10">
      <c r="A12" t="s">
        <v>11</v>
      </c>
      <c r="B12">
        <v>138</v>
      </c>
      <c r="C12">
        <v>516</v>
      </c>
      <c r="D12">
        <v>117</v>
      </c>
      <c r="E12">
        <f t="shared" si="0"/>
        <v>21</v>
      </c>
      <c r="F12">
        <f t="shared" si="1"/>
        <v>399</v>
      </c>
      <c r="G12">
        <f t="shared" si="2"/>
        <v>537</v>
      </c>
      <c r="H12">
        <f t="shared" si="3"/>
        <v>3.9106145251396649</v>
      </c>
      <c r="I12">
        <f t="shared" si="4"/>
        <v>21.787709497206702</v>
      </c>
      <c r="J12">
        <f t="shared" si="5"/>
        <v>74.30167597765363</v>
      </c>
    </row>
    <row r="13" spans="1:10">
      <c r="A13" t="s">
        <v>12</v>
      </c>
      <c r="B13">
        <v>43</v>
      </c>
      <c r="C13">
        <v>270</v>
      </c>
      <c r="D13">
        <v>36</v>
      </c>
      <c r="E13">
        <f t="shared" si="0"/>
        <v>7</v>
      </c>
      <c r="F13">
        <f t="shared" si="1"/>
        <v>234</v>
      </c>
      <c r="G13">
        <f t="shared" si="2"/>
        <v>277</v>
      </c>
      <c r="H13">
        <f t="shared" si="3"/>
        <v>2.5270758122743682</v>
      </c>
      <c r="I13">
        <f t="shared" si="4"/>
        <v>12.996389891696751</v>
      </c>
      <c r="J13">
        <f t="shared" si="5"/>
        <v>84.476534296028873</v>
      </c>
    </row>
    <row r="14" spans="1:10">
      <c r="A14" t="s">
        <v>13</v>
      </c>
      <c r="B14">
        <v>101</v>
      </c>
      <c r="C14">
        <v>276</v>
      </c>
      <c r="D14">
        <v>98</v>
      </c>
      <c r="E14">
        <f t="shared" si="0"/>
        <v>3</v>
      </c>
      <c r="F14">
        <f t="shared" si="1"/>
        <v>178</v>
      </c>
      <c r="G14">
        <f t="shared" si="2"/>
        <v>279</v>
      </c>
      <c r="H14">
        <f t="shared" si="3"/>
        <v>1.075268817204301</v>
      </c>
      <c r="I14">
        <f t="shared" si="4"/>
        <v>35.125448028673837</v>
      </c>
      <c r="J14">
        <f t="shared" si="5"/>
        <v>63.799283154121866</v>
      </c>
    </row>
    <row r="15" spans="1:10">
      <c r="A15" t="s">
        <v>14</v>
      </c>
      <c r="B15">
        <v>212</v>
      </c>
      <c r="C15">
        <v>319</v>
      </c>
      <c r="D15">
        <v>151</v>
      </c>
      <c r="E15">
        <f t="shared" si="0"/>
        <v>61</v>
      </c>
      <c r="F15">
        <f t="shared" si="1"/>
        <v>168</v>
      </c>
      <c r="G15">
        <f t="shared" si="2"/>
        <v>380</v>
      </c>
      <c r="H15">
        <f t="shared" si="3"/>
        <v>16.05263157894737</v>
      </c>
      <c r="I15">
        <f t="shared" si="4"/>
        <v>39.736842105263158</v>
      </c>
      <c r="J15">
        <f t="shared" si="5"/>
        <v>44.210526315789473</v>
      </c>
    </row>
    <row r="16" spans="1:10">
      <c r="A16" t="s">
        <v>15</v>
      </c>
      <c r="B16">
        <v>93</v>
      </c>
      <c r="C16">
        <v>316</v>
      </c>
      <c r="D16">
        <v>61</v>
      </c>
      <c r="E16">
        <f t="shared" si="0"/>
        <v>32</v>
      </c>
      <c r="F16">
        <f t="shared" si="1"/>
        <v>255</v>
      </c>
      <c r="G16">
        <f t="shared" si="2"/>
        <v>348</v>
      </c>
      <c r="H16">
        <f t="shared" si="3"/>
        <v>9.1954022988505741</v>
      </c>
      <c r="I16">
        <f t="shared" si="4"/>
        <v>17.52873563218391</v>
      </c>
      <c r="J16">
        <f t="shared" si="5"/>
        <v>73.275862068965523</v>
      </c>
    </row>
    <row r="17" spans="1:10">
      <c r="A17" t="s">
        <v>16</v>
      </c>
      <c r="B17">
        <v>129</v>
      </c>
      <c r="C17">
        <v>402</v>
      </c>
      <c r="D17">
        <v>91</v>
      </c>
      <c r="E17">
        <f t="shared" si="0"/>
        <v>38</v>
      </c>
      <c r="F17">
        <f t="shared" si="1"/>
        <v>311</v>
      </c>
      <c r="G17">
        <f t="shared" si="2"/>
        <v>440</v>
      </c>
      <c r="H17">
        <f t="shared" si="3"/>
        <v>8.6363636363636349</v>
      </c>
      <c r="I17">
        <f t="shared" si="4"/>
        <v>20.68181818181818</v>
      </c>
      <c r="J17">
        <f t="shared" si="5"/>
        <v>70.681818181818173</v>
      </c>
    </row>
    <row r="18" spans="1:10">
      <c r="A18" t="s">
        <v>17</v>
      </c>
      <c r="B18">
        <v>473</v>
      </c>
      <c r="C18">
        <v>706</v>
      </c>
      <c r="D18">
        <v>414</v>
      </c>
      <c r="E18">
        <f t="shared" si="0"/>
        <v>59</v>
      </c>
      <c r="F18">
        <f t="shared" si="1"/>
        <v>292</v>
      </c>
      <c r="G18">
        <f t="shared" si="2"/>
        <v>765</v>
      </c>
      <c r="H18">
        <f t="shared" si="3"/>
        <v>7.712418300653594</v>
      </c>
      <c r="I18">
        <f t="shared" si="4"/>
        <v>54.117647058823529</v>
      </c>
      <c r="J18">
        <f t="shared" si="5"/>
        <v>38.169934640522875</v>
      </c>
    </row>
    <row r="19" spans="1:10">
      <c r="A19" t="s">
        <v>18</v>
      </c>
      <c r="B19">
        <v>110</v>
      </c>
      <c r="C19">
        <v>533</v>
      </c>
      <c r="D19">
        <v>88</v>
      </c>
      <c r="E19">
        <f t="shared" si="0"/>
        <v>22</v>
      </c>
      <c r="F19">
        <f t="shared" si="1"/>
        <v>445</v>
      </c>
      <c r="G19">
        <f t="shared" si="2"/>
        <v>555</v>
      </c>
      <c r="H19">
        <f t="shared" si="3"/>
        <v>3.9639639639639639</v>
      </c>
      <c r="I19">
        <f t="shared" si="4"/>
        <v>15.855855855855856</v>
      </c>
      <c r="J19">
        <f t="shared" si="5"/>
        <v>80.180180180180187</v>
      </c>
    </row>
    <row r="21" spans="1:10">
      <c r="A21" t="s">
        <v>27</v>
      </c>
      <c r="H21">
        <v>33.568009011546039</v>
      </c>
      <c r="I21">
        <v>27.229754193989621</v>
      </c>
      <c r="J21">
        <v>39.202236794464334</v>
      </c>
    </row>
    <row r="22" spans="1:10">
      <c r="A22" t="s">
        <v>28</v>
      </c>
      <c r="H22">
        <v>5.8821331521739131</v>
      </c>
      <c r="I22">
        <v>18.442595108695652</v>
      </c>
      <c r="J22">
        <v>75.675271739130437</v>
      </c>
    </row>
    <row r="23" spans="1:10">
      <c r="A23" t="s">
        <v>29</v>
      </c>
      <c r="H23">
        <v>14.282640890169709</v>
      </c>
      <c r="I23">
        <v>22.270503121998079</v>
      </c>
      <c r="J23">
        <v>63.446855987832208</v>
      </c>
    </row>
    <row r="24" spans="1:10">
      <c r="A24" t="s">
        <v>7</v>
      </c>
      <c r="H24">
        <v>52.997361061877193</v>
      </c>
      <c r="I24">
        <v>23.023750443105282</v>
      </c>
      <c r="J24">
        <v>23.978888495017529</v>
      </c>
    </row>
    <row r="25" spans="1:10">
      <c r="A25" t="s">
        <v>9</v>
      </c>
      <c r="H25">
        <v>21.286538079140982</v>
      </c>
      <c r="I25">
        <v>30.261980513024458</v>
      </c>
      <c r="J25">
        <v>48.451481407834564</v>
      </c>
    </row>
    <row r="26" spans="1:10">
      <c r="A26" t="s">
        <v>11</v>
      </c>
      <c r="H26">
        <v>2.5043197182061112</v>
      </c>
      <c r="I26">
        <v>23.303182472525766</v>
      </c>
      <c r="J26">
        <v>74.192497809268119</v>
      </c>
    </row>
    <row r="27" spans="1:10">
      <c r="A27" t="s">
        <v>14</v>
      </c>
      <c r="H27">
        <v>16.05263157894737</v>
      </c>
      <c r="I27">
        <v>39.736842105263158</v>
      </c>
      <c r="J27">
        <v>44.210526315789473</v>
      </c>
    </row>
    <row r="28" spans="1:10">
      <c r="A28" t="s">
        <v>15</v>
      </c>
      <c r="H28">
        <v>8.5147280786226016</v>
      </c>
      <c r="I28">
        <v>30.776066957608538</v>
      </c>
      <c r="J28">
        <v>60.709204963768862</v>
      </c>
    </row>
    <row r="29" spans="1:10">
      <c r="A29" t="s">
        <v>18</v>
      </c>
      <c r="H29">
        <v>3.9639639639639639</v>
      </c>
      <c r="I29">
        <v>15.855855855855856</v>
      </c>
      <c r="J29">
        <v>80.180180180180187</v>
      </c>
    </row>
    <row r="30" spans="1:10">
      <c r="B30" t="s">
        <v>23</v>
      </c>
      <c r="C30" t="s">
        <v>24</v>
      </c>
      <c r="D30" t="s">
        <v>25</v>
      </c>
      <c r="E30" t="s">
        <v>31</v>
      </c>
      <c r="F30" t="s">
        <v>32</v>
      </c>
      <c r="G30" t="s">
        <v>33</v>
      </c>
    </row>
    <row r="31" spans="1:10">
      <c r="A31" t="s">
        <v>30</v>
      </c>
      <c r="B31">
        <v>11.8944664366458</v>
      </c>
      <c r="C31">
        <v>26.493547526442882</v>
      </c>
      <c r="D31">
        <v>61.611986036911283</v>
      </c>
      <c r="E31">
        <v>8.2395932129573008</v>
      </c>
      <c r="F31">
        <v>6.9770658118401565</v>
      </c>
      <c r="G31">
        <v>13.634329842354123</v>
      </c>
    </row>
    <row r="32" spans="1:10">
      <c r="A32" t="s">
        <v>34</v>
      </c>
      <c r="B32">
        <v>34.206000550790201</v>
      </c>
      <c r="C32">
        <v>29.996782247452689</v>
      </c>
      <c r="D32">
        <v>35.797217201757114</v>
      </c>
      <c r="E32">
        <v>18.480625910526587</v>
      </c>
      <c r="F32">
        <v>8.6933417862989373</v>
      </c>
      <c r="G32">
        <v>10.536859638799534</v>
      </c>
    </row>
    <row r="33" spans="1:7">
      <c r="A33" t="s">
        <v>35</v>
      </c>
      <c r="B33">
        <v>6.9169748574465943</v>
      </c>
      <c r="C33">
        <v>20.476513816793233</v>
      </c>
      <c r="D33">
        <v>72.606511325760167</v>
      </c>
      <c r="E33">
        <v>6.4204686285544463</v>
      </c>
      <c r="F33">
        <v>4.0347821074045775</v>
      </c>
      <c r="G33">
        <v>8.4786525743160972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ADC1-EB61-4810-AD10-A6E8C01A0249}">
  <dimension ref="A1:P33"/>
  <sheetViews>
    <sheetView tabSelected="1" topLeftCell="E1" workbookViewId="0">
      <selection activeCell="Q27" sqref="Q27"/>
    </sheetView>
  </sheetViews>
  <sheetFormatPr defaultRowHeight="18.75"/>
  <cols>
    <col min="1" max="1" width="37" bestFit="1" customWidth="1"/>
    <col min="5" max="6" width="11.375" bestFit="1" customWidth="1"/>
    <col min="7" max="7" width="11.375" customWidth="1"/>
    <col min="12" max="12" width="31.625" customWidth="1"/>
  </cols>
  <sheetData>
    <row r="1" spans="1:16">
      <c r="B1" t="s">
        <v>0</v>
      </c>
      <c r="C1" t="s">
        <v>20</v>
      </c>
      <c r="D1" t="s">
        <v>1</v>
      </c>
      <c r="E1" t="s">
        <v>21</v>
      </c>
      <c r="F1" t="s">
        <v>22</v>
      </c>
      <c r="G1" t="s">
        <v>26</v>
      </c>
      <c r="H1" t="s">
        <v>23</v>
      </c>
      <c r="I1" t="s">
        <v>24</v>
      </c>
      <c r="J1" t="s">
        <v>25</v>
      </c>
      <c r="M1" t="s">
        <v>0</v>
      </c>
      <c r="N1" t="s">
        <v>1</v>
      </c>
      <c r="O1" t="s">
        <v>26</v>
      </c>
      <c r="P1" t="s">
        <v>24</v>
      </c>
    </row>
    <row r="2" spans="1:16">
      <c r="A2" t="s">
        <v>19</v>
      </c>
      <c r="B2">
        <v>344</v>
      </c>
      <c r="C2">
        <v>254</v>
      </c>
      <c r="D2">
        <v>129</v>
      </c>
      <c r="E2">
        <f>B2-D2</f>
        <v>215</v>
      </c>
      <c r="F2">
        <f>C2-D2</f>
        <v>125</v>
      </c>
      <c r="G2">
        <f>D2+E2+F2</f>
        <v>469</v>
      </c>
      <c r="H2">
        <f>E2/G2%</f>
        <v>45.842217484008522</v>
      </c>
      <c r="I2">
        <f>D2/G2%</f>
        <v>27.505330490405115</v>
      </c>
      <c r="J2">
        <f>F2/G2%</f>
        <v>26.652452025586353</v>
      </c>
      <c r="L2" t="s">
        <v>19</v>
      </c>
      <c r="M2">
        <v>215</v>
      </c>
      <c r="N2">
        <v>129</v>
      </c>
      <c r="O2">
        <v>344</v>
      </c>
      <c r="P2">
        <f>N2/O2%</f>
        <v>37.5</v>
      </c>
    </row>
    <row r="3" spans="1:16">
      <c r="A3" t="s">
        <v>2</v>
      </c>
      <c r="B3">
        <v>179</v>
      </c>
      <c r="C3">
        <v>292</v>
      </c>
      <c r="D3">
        <v>100</v>
      </c>
      <c r="E3">
        <f t="shared" ref="E3:E19" si="0">B3-D3</f>
        <v>79</v>
      </c>
      <c r="F3">
        <f t="shared" ref="F3:F19" si="1">C3-D3</f>
        <v>192</v>
      </c>
      <c r="G3">
        <f t="shared" ref="G3:G19" si="2">D3+E3+F3</f>
        <v>371</v>
      </c>
      <c r="H3">
        <f t="shared" ref="H3:H19" si="3">E3/G3%</f>
        <v>21.293800539083559</v>
      </c>
      <c r="I3">
        <f t="shared" ref="I3:I19" si="4">D3/G3%</f>
        <v>26.954177897574123</v>
      </c>
      <c r="J3">
        <f t="shared" ref="J3:J19" si="5">F3/G3%</f>
        <v>51.752021563342318</v>
      </c>
      <c r="L3" t="s">
        <v>2</v>
      </c>
      <c r="M3">
        <v>79</v>
      </c>
      <c r="N3">
        <v>100</v>
      </c>
      <c r="O3">
        <v>179</v>
      </c>
      <c r="P3">
        <f t="shared" ref="P3:P19" si="6">N3/O3%</f>
        <v>55.865921787709496</v>
      </c>
    </row>
    <row r="4" spans="1:16">
      <c r="A4" t="s">
        <v>3</v>
      </c>
      <c r="B4">
        <v>127</v>
      </c>
      <c r="C4">
        <v>568</v>
      </c>
      <c r="D4">
        <v>120</v>
      </c>
      <c r="E4">
        <f t="shared" si="0"/>
        <v>7</v>
      </c>
      <c r="F4">
        <f t="shared" si="1"/>
        <v>448</v>
      </c>
      <c r="G4">
        <f t="shared" si="2"/>
        <v>575</v>
      </c>
      <c r="H4">
        <f t="shared" si="3"/>
        <v>1.2173913043478262</v>
      </c>
      <c r="I4">
        <f t="shared" si="4"/>
        <v>20.869565217391305</v>
      </c>
      <c r="J4">
        <f t="shared" si="5"/>
        <v>77.913043478260875</v>
      </c>
      <c r="L4" t="s">
        <v>3</v>
      </c>
      <c r="M4">
        <v>7</v>
      </c>
      <c r="N4">
        <v>120</v>
      </c>
      <c r="O4">
        <v>127</v>
      </c>
      <c r="P4">
        <f t="shared" si="6"/>
        <v>94.488188976377955</v>
      </c>
    </row>
    <row r="5" spans="1:16">
      <c r="A5" t="s">
        <v>4</v>
      </c>
      <c r="B5">
        <v>136</v>
      </c>
      <c r="C5">
        <v>458</v>
      </c>
      <c r="D5">
        <v>82</v>
      </c>
      <c r="E5">
        <f t="shared" si="0"/>
        <v>54</v>
      </c>
      <c r="F5">
        <f t="shared" si="1"/>
        <v>376</v>
      </c>
      <c r="G5">
        <f t="shared" si="2"/>
        <v>512</v>
      </c>
      <c r="H5">
        <f t="shared" si="3"/>
        <v>10.546875</v>
      </c>
      <c r="I5">
        <f t="shared" si="4"/>
        <v>16.015625</v>
      </c>
      <c r="J5">
        <f t="shared" si="5"/>
        <v>73.4375</v>
      </c>
      <c r="L5" t="s">
        <v>4</v>
      </c>
      <c r="M5">
        <v>54</v>
      </c>
      <c r="N5">
        <v>82</v>
      </c>
      <c r="O5">
        <v>136</v>
      </c>
      <c r="P5">
        <f t="shared" si="6"/>
        <v>60.294117647058819</v>
      </c>
    </row>
    <row r="6" spans="1:16">
      <c r="A6" t="s">
        <v>5</v>
      </c>
      <c r="B6">
        <v>135</v>
      </c>
      <c r="C6">
        <v>278</v>
      </c>
      <c r="D6">
        <v>66</v>
      </c>
      <c r="E6">
        <f t="shared" si="0"/>
        <v>69</v>
      </c>
      <c r="F6">
        <f t="shared" si="1"/>
        <v>212</v>
      </c>
      <c r="G6">
        <f t="shared" si="2"/>
        <v>347</v>
      </c>
      <c r="H6">
        <f t="shared" si="3"/>
        <v>19.884726224783861</v>
      </c>
      <c r="I6">
        <f t="shared" si="4"/>
        <v>19.020172910662822</v>
      </c>
      <c r="J6">
        <f t="shared" si="5"/>
        <v>61.095100864553309</v>
      </c>
      <c r="L6" t="s">
        <v>5</v>
      </c>
      <c r="M6">
        <v>69</v>
      </c>
      <c r="N6">
        <v>66</v>
      </c>
      <c r="O6">
        <v>135</v>
      </c>
      <c r="P6">
        <f t="shared" si="6"/>
        <v>48.888888888888886</v>
      </c>
    </row>
    <row r="7" spans="1:16">
      <c r="A7" t="s">
        <v>6</v>
      </c>
      <c r="B7">
        <v>197</v>
      </c>
      <c r="C7">
        <v>526</v>
      </c>
      <c r="D7">
        <v>147</v>
      </c>
      <c r="E7">
        <f t="shared" si="0"/>
        <v>50</v>
      </c>
      <c r="F7">
        <f t="shared" si="1"/>
        <v>379</v>
      </c>
      <c r="G7">
        <f t="shared" si="2"/>
        <v>576</v>
      </c>
      <c r="H7">
        <f t="shared" si="3"/>
        <v>8.6805555555555554</v>
      </c>
      <c r="I7">
        <f t="shared" si="4"/>
        <v>25.520833333333336</v>
      </c>
      <c r="J7">
        <f t="shared" si="5"/>
        <v>65.798611111111114</v>
      </c>
      <c r="L7" t="s">
        <v>6</v>
      </c>
      <c r="M7">
        <v>50</v>
      </c>
      <c r="N7">
        <v>147</v>
      </c>
      <c r="O7">
        <v>197</v>
      </c>
      <c r="P7">
        <f t="shared" si="6"/>
        <v>74.619289340101517</v>
      </c>
    </row>
    <row r="8" spans="1:16">
      <c r="A8" t="s">
        <v>7</v>
      </c>
      <c r="B8">
        <v>191</v>
      </c>
      <c r="C8">
        <v>149</v>
      </c>
      <c r="D8">
        <v>67</v>
      </c>
      <c r="E8">
        <f t="shared" si="0"/>
        <v>124</v>
      </c>
      <c r="F8">
        <f t="shared" si="1"/>
        <v>82</v>
      </c>
      <c r="G8">
        <f t="shared" si="2"/>
        <v>273</v>
      </c>
      <c r="H8">
        <f t="shared" si="3"/>
        <v>45.421245421245423</v>
      </c>
      <c r="I8">
        <f t="shared" si="4"/>
        <v>24.542124542124544</v>
      </c>
      <c r="J8">
        <f t="shared" si="5"/>
        <v>30.036630036630036</v>
      </c>
      <c r="L8" t="s">
        <v>7</v>
      </c>
      <c r="M8">
        <v>124</v>
      </c>
      <c r="N8">
        <v>67</v>
      </c>
      <c r="O8">
        <v>191</v>
      </c>
      <c r="P8">
        <f t="shared" si="6"/>
        <v>35.078534031413611</v>
      </c>
    </row>
    <row r="9" spans="1:16">
      <c r="A9" t="s">
        <v>8</v>
      </c>
      <c r="B9">
        <v>229</v>
      </c>
      <c r="C9">
        <v>110</v>
      </c>
      <c r="D9">
        <v>60</v>
      </c>
      <c r="E9">
        <f t="shared" si="0"/>
        <v>169</v>
      </c>
      <c r="F9">
        <f t="shared" si="1"/>
        <v>50</v>
      </c>
      <c r="G9">
        <f t="shared" si="2"/>
        <v>279</v>
      </c>
      <c r="H9">
        <f t="shared" si="3"/>
        <v>60.573476702508962</v>
      </c>
      <c r="I9">
        <f t="shared" si="4"/>
        <v>21.50537634408602</v>
      </c>
      <c r="J9">
        <f t="shared" si="5"/>
        <v>17.921146953405017</v>
      </c>
      <c r="L9" t="s">
        <v>8</v>
      </c>
      <c r="M9">
        <v>169</v>
      </c>
      <c r="N9">
        <v>60</v>
      </c>
      <c r="O9">
        <v>229</v>
      </c>
      <c r="P9">
        <f t="shared" si="6"/>
        <v>26.200873362445414</v>
      </c>
    </row>
    <row r="10" spans="1:16">
      <c r="A10" t="s">
        <v>9</v>
      </c>
      <c r="B10">
        <v>19</v>
      </c>
      <c r="C10">
        <v>180</v>
      </c>
      <c r="D10">
        <v>11</v>
      </c>
      <c r="E10">
        <f t="shared" si="0"/>
        <v>8</v>
      </c>
      <c r="F10">
        <f t="shared" si="1"/>
        <v>169</v>
      </c>
      <c r="G10">
        <f t="shared" si="2"/>
        <v>188</v>
      </c>
      <c r="H10">
        <f t="shared" si="3"/>
        <v>4.2553191489361701</v>
      </c>
      <c r="I10">
        <f t="shared" si="4"/>
        <v>5.8510638297872344</v>
      </c>
      <c r="J10">
        <f t="shared" si="5"/>
        <v>89.893617021276597</v>
      </c>
      <c r="L10" t="s">
        <v>9</v>
      </c>
      <c r="M10">
        <v>8</v>
      </c>
      <c r="N10">
        <v>11</v>
      </c>
      <c r="O10">
        <v>19</v>
      </c>
      <c r="P10">
        <f t="shared" si="6"/>
        <v>57.89473684210526</v>
      </c>
    </row>
    <row r="11" spans="1:16">
      <c r="A11" t="s">
        <v>10</v>
      </c>
      <c r="B11">
        <v>398</v>
      </c>
      <c r="C11">
        <v>264</v>
      </c>
      <c r="D11">
        <v>234</v>
      </c>
      <c r="E11">
        <f t="shared" si="0"/>
        <v>164</v>
      </c>
      <c r="F11">
        <f t="shared" si="1"/>
        <v>30</v>
      </c>
      <c r="G11">
        <f t="shared" si="2"/>
        <v>428</v>
      </c>
      <c r="H11">
        <f t="shared" si="3"/>
        <v>38.31775700934579</v>
      </c>
      <c r="I11">
        <f t="shared" si="4"/>
        <v>54.67289719626168</v>
      </c>
      <c r="J11">
        <f t="shared" si="5"/>
        <v>7.009345794392523</v>
      </c>
      <c r="L11" t="s">
        <v>10</v>
      </c>
      <c r="M11">
        <v>164</v>
      </c>
      <c r="N11">
        <v>234</v>
      </c>
      <c r="O11">
        <v>398</v>
      </c>
      <c r="P11">
        <f t="shared" si="6"/>
        <v>58.793969849246231</v>
      </c>
    </row>
    <row r="12" spans="1:16">
      <c r="A12" t="s">
        <v>11</v>
      </c>
      <c r="B12">
        <v>138</v>
      </c>
      <c r="C12">
        <v>516</v>
      </c>
      <c r="D12">
        <v>117</v>
      </c>
      <c r="E12">
        <f t="shared" si="0"/>
        <v>21</v>
      </c>
      <c r="F12">
        <f t="shared" si="1"/>
        <v>399</v>
      </c>
      <c r="G12">
        <f t="shared" si="2"/>
        <v>537</v>
      </c>
      <c r="H12">
        <f t="shared" si="3"/>
        <v>3.9106145251396649</v>
      </c>
      <c r="I12">
        <f t="shared" si="4"/>
        <v>21.787709497206702</v>
      </c>
      <c r="J12">
        <f t="shared" si="5"/>
        <v>74.30167597765363</v>
      </c>
      <c r="L12" t="s">
        <v>11</v>
      </c>
      <c r="M12">
        <v>21</v>
      </c>
      <c r="N12">
        <v>117</v>
      </c>
      <c r="O12">
        <v>138</v>
      </c>
      <c r="P12">
        <f t="shared" si="6"/>
        <v>84.782608695652186</v>
      </c>
    </row>
    <row r="13" spans="1:16">
      <c r="A13" t="s">
        <v>12</v>
      </c>
      <c r="B13">
        <v>43</v>
      </c>
      <c r="C13">
        <v>270</v>
      </c>
      <c r="D13">
        <v>36</v>
      </c>
      <c r="E13">
        <f t="shared" si="0"/>
        <v>7</v>
      </c>
      <c r="F13">
        <f t="shared" si="1"/>
        <v>234</v>
      </c>
      <c r="G13">
        <f t="shared" si="2"/>
        <v>277</v>
      </c>
      <c r="H13">
        <f t="shared" si="3"/>
        <v>2.5270758122743682</v>
      </c>
      <c r="I13">
        <f t="shared" si="4"/>
        <v>12.996389891696751</v>
      </c>
      <c r="J13">
        <f t="shared" si="5"/>
        <v>84.476534296028873</v>
      </c>
      <c r="L13" t="s">
        <v>12</v>
      </c>
      <c r="M13">
        <v>7</v>
      </c>
      <c r="N13">
        <v>36</v>
      </c>
      <c r="O13">
        <v>43</v>
      </c>
      <c r="P13">
        <f t="shared" si="6"/>
        <v>83.720930232558146</v>
      </c>
    </row>
    <row r="14" spans="1:16">
      <c r="A14" t="s">
        <v>13</v>
      </c>
      <c r="B14">
        <v>101</v>
      </c>
      <c r="C14">
        <v>276</v>
      </c>
      <c r="D14">
        <v>98</v>
      </c>
      <c r="E14">
        <f t="shared" si="0"/>
        <v>3</v>
      </c>
      <c r="F14">
        <f t="shared" si="1"/>
        <v>178</v>
      </c>
      <c r="G14">
        <f t="shared" si="2"/>
        <v>279</v>
      </c>
      <c r="H14">
        <f t="shared" si="3"/>
        <v>1.075268817204301</v>
      </c>
      <c r="I14">
        <f t="shared" si="4"/>
        <v>35.125448028673837</v>
      </c>
      <c r="J14">
        <f t="shared" si="5"/>
        <v>63.799283154121866</v>
      </c>
      <c r="L14" t="s">
        <v>13</v>
      </c>
      <c r="M14">
        <v>3</v>
      </c>
      <c r="N14">
        <v>98</v>
      </c>
      <c r="O14">
        <v>101</v>
      </c>
      <c r="P14">
        <f t="shared" si="6"/>
        <v>97.029702970297024</v>
      </c>
    </row>
    <row r="15" spans="1:16">
      <c r="A15" t="s">
        <v>14</v>
      </c>
      <c r="B15">
        <v>212</v>
      </c>
      <c r="C15">
        <v>319</v>
      </c>
      <c r="D15">
        <v>151</v>
      </c>
      <c r="E15">
        <f t="shared" si="0"/>
        <v>61</v>
      </c>
      <c r="F15">
        <f t="shared" si="1"/>
        <v>168</v>
      </c>
      <c r="G15">
        <f t="shared" si="2"/>
        <v>380</v>
      </c>
      <c r="H15">
        <f t="shared" si="3"/>
        <v>16.05263157894737</v>
      </c>
      <c r="I15">
        <f t="shared" si="4"/>
        <v>39.736842105263158</v>
      </c>
      <c r="J15">
        <f t="shared" si="5"/>
        <v>44.210526315789473</v>
      </c>
      <c r="L15" t="s">
        <v>14</v>
      </c>
      <c r="M15">
        <v>61</v>
      </c>
      <c r="N15">
        <v>151</v>
      </c>
      <c r="O15">
        <v>212</v>
      </c>
      <c r="P15">
        <f t="shared" si="6"/>
        <v>71.226415094339615</v>
      </c>
    </row>
    <row r="16" spans="1:16">
      <c r="A16" t="s">
        <v>15</v>
      </c>
      <c r="B16">
        <v>93</v>
      </c>
      <c r="C16">
        <v>316</v>
      </c>
      <c r="D16">
        <v>61</v>
      </c>
      <c r="E16">
        <f t="shared" si="0"/>
        <v>32</v>
      </c>
      <c r="F16">
        <f t="shared" si="1"/>
        <v>255</v>
      </c>
      <c r="G16">
        <f t="shared" si="2"/>
        <v>348</v>
      </c>
      <c r="H16">
        <f t="shared" si="3"/>
        <v>9.1954022988505741</v>
      </c>
      <c r="I16">
        <f t="shared" si="4"/>
        <v>17.52873563218391</v>
      </c>
      <c r="J16">
        <f t="shared" si="5"/>
        <v>73.275862068965523</v>
      </c>
      <c r="L16" t="s">
        <v>15</v>
      </c>
      <c r="M16">
        <v>32</v>
      </c>
      <c r="N16">
        <v>61</v>
      </c>
      <c r="O16">
        <v>93</v>
      </c>
      <c r="P16">
        <f t="shared" si="6"/>
        <v>65.591397849462368</v>
      </c>
    </row>
    <row r="17" spans="1:16">
      <c r="A17" t="s">
        <v>16</v>
      </c>
      <c r="B17">
        <v>129</v>
      </c>
      <c r="C17">
        <v>402</v>
      </c>
      <c r="D17">
        <v>91</v>
      </c>
      <c r="E17">
        <f t="shared" si="0"/>
        <v>38</v>
      </c>
      <c r="F17">
        <f t="shared" si="1"/>
        <v>311</v>
      </c>
      <c r="G17">
        <f t="shared" si="2"/>
        <v>440</v>
      </c>
      <c r="H17">
        <f t="shared" si="3"/>
        <v>8.6363636363636349</v>
      </c>
      <c r="I17">
        <f t="shared" si="4"/>
        <v>20.68181818181818</v>
      </c>
      <c r="J17">
        <f t="shared" si="5"/>
        <v>70.681818181818173</v>
      </c>
      <c r="L17" t="s">
        <v>16</v>
      </c>
      <c r="M17">
        <v>38</v>
      </c>
      <c r="N17">
        <v>91</v>
      </c>
      <c r="O17">
        <v>129</v>
      </c>
      <c r="P17">
        <f t="shared" si="6"/>
        <v>70.542635658914733</v>
      </c>
    </row>
    <row r="18" spans="1:16">
      <c r="A18" t="s">
        <v>17</v>
      </c>
      <c r="B18">
        <v>473</v>
      </c>
      <c r="C18">
        <v>706</v>
      </c>
      <c r="D18">
        <v>414</v>
      </c>
      <c r="E18">
        <f t="shared" si="0"/>
        <v>59</v>
      </c>
      <c r="F18">
        <f t="shared" si="1"/>
        <v>292</v>
      </c>
      <c r="G18">
        <f t="shared" si="2"/>
        <v>765</v>
      </c>
      <c r="H18">
        <f t="shared" si="3"/>
        <v>7.712418300653594</v>
      </c>
      <c r="I18">
        <f t="shared" si="4"/>
        <v>54.117647058823529</v>
      </c>
      <c r="J18">
        <f t="shared" si="5"/>
        <v>38.169934640522875</v>
      </c>
      <c r="L18" t="s">
        <v>17</v>
      </c>
      <c r="M18">
        <v>59</v>
      </c>
      <c r="N18">
        <v>414</v>
      </c>
      <c r="O18">
        <v>473</v>
      </c>
      <c r="P18">
        <f t="shared" si="6"/>
        <v>87.52642706131077</v>
      </c>
    </row>
    <row r="19" spans="1:16">
      <c r="A19" t="s">
        <v>18</v>
      </c>
      <c r="B19">
        <v>110</v>
      </c>
      <c r="C19">
        <v>533</v>
      </c>
      <c r="D19">
        <v>88</v>
      </c>
      <c r="E19">
        <f t="shared" si="0"/>
        <v>22</v>
      </c>
      <c r="F19">
        <f t="shared" si="1"/>
        <v>445</v>
      </c>
      <c r="G19">
        <f t="shared" si="2"/>
        <v>555</v>
      </c>
      <c r="H19">
        <f t="shared" si="3"/>
        <v>3.9639639639639639</v>
      </c>
      <c r="I19">
        <f t="shared" si="4"/>
        <v>15.855855855855856</v>
      </c>
      <c r="J19">
        <f t="shared" si="5"/>
        <v>80.180180180180187</v>
      </c>
      <c r="L19" t="s">
        <v>18</v>
      </c>
      <c r="M19">
        <v>22</v>
      </c>
      <c r="N19">
        <v>88</v>
      </c>
      <c r="O19">
        <v>110</v>
      </c>
      <c r="P19">
        <f t="shared" si="6"/>
        <v>80</v>
      </c>
    </row>
    <row r="21" spans="1:16">
      <c r="A21" t="s">
        <v>27</v>
      </c>
      <c r="H21">
        <v>33.568009011546039</v>
      </c>
      <c r="I21">
        <v>27.229754193989621</v>
      </c>
      <c r="J21">
        <v>39.202236794464334</v>
      </c>
      <c r="L21" t="s">
        <v>36</v>
      </c>
      <c r="M21" t="s">
        <v>37</v>
      </c>
      <c r="N21" t="s">
        <v>38</v>
      </c>
    </row>
    <row r="22" spans="1:16">
      <c r="A22" t="s">
        <v>28</v>
      </c>
      <c r="H22">
        <v>5.8821331521739131</v>
      </c>
      <c r="I22">
        <v>18.442595108695652</v>
      </c>
      <c r="J22">
        <v>75.675271739130437</v>
      </c>
      <c r="L22">
        <v>37.5</v>
      </c>
      <c r="M22">
        <v>94.488188976377955</v>
      </c>
      <c r="N22">
        <v>48.888888888888886</v>
      </c>
    </row>
    <row r="23" spans="1:16">
      <c r="A23" t="s">
        <v>29</v>
      </c>
      <c r="H23">
        <v>14.282640890169709</v>
      </c>
      <c r="I23">
        <v>22.270503121998079</v>
      </c>
      <c r="J23">
        <v>63.446855987832208</v>
      </c>
      <c r="L23">
        <v>55.865921787709496</v>
      </c>
      <c r="M23">
        <v>60.294117647058819</v>
      </c>
      <c r="N23">
        <v>74.619289340101517</v>
      </c>
    </row>
    <row r="24" spans="1:16">
      <c r="A24" t="s">
        <v>7</v>
      </c>
      <c r="H24">
        <v>52.997361061877193</v>
      </c>
      <c r="I24">
        <v>23.023750443105282</v>
      </c>
      <c r="J24">
        <v>23.978888495017529</v>
      </c>
      <c r="L24">
        <v>35.078534031413611</v>
      </c>
      <c r="M24">
        <v>57.89473684210526</v>
      </c>
      <c r="N24">
        <v>84.782608695652186</v>
      </c>
    </row>
    <row r="25" spans="1:16">
      <c r="A25" t="s">
        <v>9</v>
      </c>
      <c r="H25">
        <v>21.286538079140982</v>
      </c>
      <c r="I25">
        <v>30.261980513024458</v>
      </c>
      <c r="J25">
        <v>48.451481407834564</v>
      </c>
      <c r="L25">
        <v>26.200873362445414</v>
      </c>
      <c r="M25">
        <v>58.793969849246231</v>
      </c>
      <c r="N25">
        <v>83.720930232558146</v>
      </c>
    </row>
    <row r="26" spans="1:16">
      <c r="A26" t="s">
        <v>11</v>
      </c>
      <c r="H26">
        <v>2.5043197182061112</v>
      </c>
      <c r="I26">
        <v>23.303182472525766</v>
      </c>
      <c r="J26">
        <v>74.192497809268119</v>
      </c>
      <c r="L26">
        <v>71.226415094339615</v>
      </c>
      <c r="M26">
        <v>65.591397849462368</v>
      </c>
      <c r="N26">
        <v>97.029702970297024</v>
      </c>
    </row>
    <row r="27" spans="1:16">
      <c r="A27" t="s">
        <v>14</v>
      </c>
      <c r="H27">
        <v>16.05263157894737</v>
      </c>
      <c r="I27">
        <v>39.736842105263158</v>
      </c>
      <c r="J27">
        <v>44.210526315789473</v>
      </c>
      <c r="M27">
        <v>70.542635658914733</v>
      </c>
      <c r="N27">
        <v>80</v>
      </c>
    </row>
    <row r="28" spans="1:16">
      <c r="A28" t="s">
        <v>15</v>
      </c>
      <c r="H28">
        <v>8.5147280786226016</v>
      </c>
      <c r="I28">
        <v>30.776066957608538</v>
      </c>
      <c r="J28">
        <v>60.709204963768862</v>
      </c>
      <c r="M28">
        <v>87.52642706131077</v>
      </c>
    </row>
    <row r="29" spans="1:16">
      <c r="A29" t="s">
        <v>18</v>
      </c>
      <c r="H29">
        <v>3.9639639639639639</v>
      </c>
      <c r="I29">
        <v>15.855855855855856</v>
      </c>
      <c r="J29">
        <v>80.180180180180187</v>
      </c>
    </row>
    <row r="30" spans="1:16">
      <c r="B30" t="s">
        <v>23</v>
      </c>
      <c r="C30" t="s">
        <v>24</v>
      </c>
      <c r="D30" t="s">
        <v>25</v>
      </c>
      <c r="E30" t="s">
        <v>31</v>
      </c>
      <c r="F30" t="s">
        <v>32</v>
      </c>
      <c r="G30" t="s">
        <v>33</v>
      </c>
    </row>
    <row r="31" spans="1:16">
      <c r="A31" t="s">
        <v>30</v>
      </c>
      <c r="B31">
        <v>11.8944664366458</v>
      </c>
      <c r="C31">
        <v>26.493547526442882</v>
      </c>
      <c r="D31">
        <v>61.611986036911283</v>
      </c>
      <c r="E31">
        <v>8.2395932129573008</v>
      </c>
      <c r="F31">
        <v>6.9770658118401565</v>
      </c>
      <c r="G31">
        <v>13.634329842354123</v>
      </c>
    </row>
    <row r="32" spans="1:16">
      <c r="A32" t="s">
        <v>34</v>
      </c>
      <c r="B32">
        <v>34.206000550790201</v>
      </c>
      <c r="C32">
        <v>29.996782247452689</v>
      </c>
      <c r="D32">
        <v>35.797217201757114</v>
      </c>
      <c r="E32">
        <v>18.480625910526587</v>
      </c>
      <c r="F32">
        <v>8.6933417862989373</v>
      </c>
      <c r="G32">
        <v>10.536859638799534</v>
      </c>
    </row>
    <row r="33" spans="1:7">
      <c r="A33" t="s">
        <v>35</v>
      </c>
      <c r="B33">
        <v>6.9169748574465943</v>
      </c>
      <c r="C33">
        <v>20.476513816793233</v>
      </c>
      <c r="D33">
        <v>72.606511325760167</v>
      </c>
      <c r="E33">
        <v>6.4204686285544463</v>
      </c>
      <c r="F33">
        <v>4.0347821074045775</v>
      </c>
      <c r="G33">
        <v>8.4786525743160972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伊藤喜介</dc:creator>
  <cp:lastModifiedBy>喜介 伊藤</cp:lastModifiedBy>
  <dcterms:created xsi:type="dcterms:W3CDTF">2015-06-05T18:19:34Z</dcterms:created>
  <dcterms:modified xsi:type="dcterms:W3CDTF">2025-01-31T05:56:56Z</dcterms:modified>
</cp:coreProperties>
</file>