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embeddings/oleObject6.bin" ContentType="application/vnd.openxmlformats-officedocument.oleObject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★fig用データエクセル/"/>
    </mc:Choice>
  </mc:AlternateContent>
  <xr:revisionPtr revIDLastSave="497" documentId="13_ncr:1_{C66F7AC4-3151-462B-B1C8-0FB0FE106E9C}" xr6:coauthVersionLast="47" xr6:coauthVersionMax="47" xr10:uidLastSave="{B03409DE-6732-435F-97D1-C3FA1AA7CA13}"/>
  <bookViews>
    <workbookView xWindow="1260" yWindow="3210" windowWidth="18330" windowHeight="17280" activeTab="3" xr2:uid="{00000000-000D-0000-FFFF-FFFF00000000}"/>
  </bookViews>
  <sheets>
    <sheet name="WT" sheetId="9" r:id="rId1"/>
    <sheet name="KO (2)" sheetId="11" r:id="rId2"/>
    <sheet name="KO-BW" sheetId="15" r:id="rId3"/>
    <sheet name="WT-BW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1" l="1"/>
  <c r="C22" i="11"/>
  <c r="D22" i="11"/>
  <c r="E22" i="11"/>
  <c r="F22" i="11"/>
  <c r="G22" i="11"/>
  <c r="H22" i="11"/>
  <c r="I22" i="11"/>
  <c r="J22" i="11"/>
  <c r="K22" i="11"/>
  <c r="L22" i="11"/>
  <c r="C20" i="11"/>
  <c r="D20" i="11"/>
  <c r="E20" i="11"/>
  <c r="F20" i="11"/>
  <c r="G20" i="11"/>
  <c r="H20" i="11"/>
  <c r="I20" i="11"/>
  <c r="J20" i="11"/>
  <c r="K20" i="11"/>
  <c r="L20" i="11"/>
  <c r="C18" i="11"/>
  <c r="D18" i="11"/>
  <c r="E18" i="11"/>
  <c r="F18" i="11"/>
  <c r="G18" i="11"/>
  <c r="H18" i="11"/>
  <c r="I18" i="11"/>
  <c r="J18" i="11"/>
  <c r="K18" i="11"/>
  <c r="L18" i="11"/>
  <c r="B20" i="11"/>
  <c r="B22" i="11"/>
  <c r="B17" i="11"/>
  <c r="C30" i="13"/>
  <c r="D30" i="13"/>
  <c r="E30" i="13"/>
  <c r="F30" i="13"/>
  <c r="G30" i="13"/>
  <c r="H30" i="13"/>
  <c r="I30" i="13"/>
  <c r="J30" i="13"/>
  <c r="K30" i="13"/>
  <c r="L30" i="13"/>
  <c r="B30" i="13"/>
  <c r="C28" i="13"/>
  <c r="D28" i="13"/>
  <c r="E28" i="13"/>
  <c r="F28" i="13"/>
  <c r="G28" i="13"/>
  <c r="H28" i="13"/>
  <c r="I28" i="13"/>
  <c r="J28" i="13"/>
  <c r="K28" i="13"/>
  <c r="L28" i="13"/>
  <c r="B28" i="13"/>
  <c r="C26" i="13"/>
  <c r="D26" i="13"/>
  <c r="E26" i="13"/>
  <c r="F26" i="13"/>
  <c r="G26" i="13"/>
  <c r="H26" i="13"/>
  <c r="I26" i="13"/>
  <c r="J26" i="13"/>
  <c r="K26" i="13"/>
  <c r="L26" i="13"/>
  <c r="B26" i="13"/>
  <c r="C24" i="13"/>
  <c r="D24" i="13"/>
  <c r="E24" i="13"/>
  <c r="F24" i="13"/>
  <c r="G24" i="13"/>
  <c r="H24" i="13"/>
  <c r="I24" i="13"/>
  <c r="J24" i="13"/>
  <c r="K24" i="13"/>
  <c r="L24" i="13"/>
  <c r="B24" i="13"/>
  <c r="C30" i="9"/>
  <c r="D30" i="9"/>
  <c r="E30" i="9"/>
  <c r="F30" i="9"/>
  <c r="G30" i="9"/>
  <c r="H30" i="9"/>
  <c r="I30" i="9"/>
  <c r="J30" i="9"/>
  <c r="K30" i="9"/>
  <c r="L30" i="9"/>
  <c r="B30" i="9"/>
  <c r="C28" i="9"/>
  <c r="D28" i="9"/>
  <c r="E28" i="9"/>
  <c r="F28" i="9"/>
  <c r="G28" i="9"/>
  <c r="H28" i="9"/>
  <c r="I28" i="9"/>
  <c r="J28" i="9"/>
  <c r="K28" i="9"/>
  <c r="L28" i="9"/>
  <c r="B28" i="9"/>
  <c r="C26" i="9"/>
  <c r="D26" i="9"/>
  <c r="E26" i="9"/>
  <c r="F26" i="9"/>
  <c r="G26" i="9"/>
  <c r="H26" i="9"/>
  <c r="I26" i="9"/>
  <c r="J26" i="9"/>
  <c r="K26" i="9"/>
  <c r="L26" i="9"/>
  <c r="B26" i="9"/>
  <c r="C24" i="9"/>
  <c r="D24" i="9"/>
  <c r="E24" i="9"/>
  <c r="F24" i="9"/>
  <c r="G24" i="9"/>
  <c r="H24" i="9"/>
  <c r="I24" i="9"/>
  <c r="J24" i="9"/>
  <c r="K24" i="9"/>
  <c r="L24" i="9"/>
  <c r="B24" i="9"/>
  <c r="L21" i="11"/>
  <c r="L29" i="13"/>
  <c r="K29" i="13"/>
  <c r="J29" i="13"/>
  <c r="I29" i="13"/>
  <c r="H29" i="13"/>
  <c r="G29" i="13"/>
  <c r="F29" i="13"/>
  <c r="E29" i="13"/>
  <c r="D29" i="13"/>
  <c r="C29" i="13"/>
  <c r="B29" i="13"/>
  <c r="L27" i="13"/>
  <c r="K27" i="13"/>
  <c r="J27" i="13"/>
  <c r="I27" i="13"/>
  <c r="H27" i="13"/>
  <c r="G27" i="13"/>
  <c r="F27" i="13"/>
  <c r="E27" i="13"/>
  <c r="D27" i="13"/>
  <c r="C27" i="13"/>
  <c r="B27" i="13"/>
  <c r="L25" i="13"/>
  <c r="K25" i="13"/>
  <c r="J25" i="13"/>
  <c r="I25" i="13"/>
  <c r="H25" i="13"/>
  <c r="G25" i="13"/>
  <c r="F25" i="13"/>
  <c r="E25" i="13"/>
  <c r="D25" i="13"/>
  <c r="C25" i="13"/>
  <c r="B25" i="13"/>
  <c r="L23" i="13"/>
  <c r="K23" i="13"/>
  <c r="J23" i="13"/>
  <c r="I23" i="13"/>
  <c r="H23" i="13"/>
  <c r="G23" i="13"/>
  <c r="F23" i="13"/>
  <c r="E23" i="13"/>
  <c r="D23" i="13"/>
  <c r="C23" i="13"/>
  <c r="B23" i="13"/>
  <c r="L23" i="9"/>
  <c r="L25" i="9"/>
  <c r="L27" i="9"/>
  <c r="L29" i="9"/>
  <c r="K23" i="9" l="1"/>
  <c r="K25" i="9"/>
  <c r="K27" i="9"/>
  <c r="K29" i="9"/>
  <c r="J25" i="9"/>
  <c r="J27" i="9"/>
  <c r="J29" i="9"/>
  <c r="C17" i="11" l="1"/>
  <c r="D17" i="11"/>
  <c r="E17" i="11"/>
  <c r="F17" i="11"/>
  <c r="G17" i="11"/>
  <c r="H17" i="11"/>
  <c r="I17" i="11"/>
  <c r="J17" i="11"/>
  <c r="K17" i="11"/>
  <c r="L17" i="11"/>
  <c r="C19" i="11"/>
  <c r="D19" i="11"/>
  <c r="E19" i="11"/>
  <c r="F19" i="11"/>
  <c r="G19" i="11"/>
  <c r="H19" i="11"/>
  <c r="I19" i="11"/>
  <c r="J19" i="11"/>
  <c r="K19" i="11"/>
  <c r="L19" i="11"/>
  <c r="C21" i="11"/>
  <c r="D21" i="11"/>
  <c r="E21" i="11"/>
  <c r="F21" i="11"/>
  <c r="G21" i="11"/>
  <c r="H21" i="11"/>
  <c r="I21" i="11"/>
  <c r="J21" i="11"/>
  <c r="K21" i="11"/>
  <c r="B21" i="11"/>
  <c r="B19" i="11"/>
  <c r="C23" i="9" l="1"/>
  <c r="D23" i="9"/>
  <c r="E23" i="9"/>
  <c r="F23" i="9"/>
  <c r="G23" i="9"/>
  <c r="H23" i="9"/>
  <c r="I23" i="9"/>
  <c r="J23" i="9"/>
  <c r="C25" i="9"/>
  <c r="D25" i="9"/>
  <c r="E25" i="9"/>
  <c r="F25" i="9"/>
  <c r="G25" i="9"/>
  <c r="H25" i="9"/>
  <c r="I25" i="9"/>
  <c r="C27" i="9"/>
  <c r="D27" i="9"/>
  <c r="E27" i="9"/>
  <c r="F27" i="9"/>
  <c r="G27" i="9"/>
  <c r="H27" i="9"/>
  <c r="I27" i="9"/>
  <c r="C29" i="9"/>
  <c r="D29" i="9"/>
  <c r="E29" i="9"/>
  <c r="F29" i="9"/>
  <c r="G29" i="9"/>
  <c r="H29" i="9"/>
  <c r="I29" i="9"/>
  <c r="B29" i="9"/>
  <c r="B27" i="9"/>
  <c r="B25" i="9"/>
  <c r="B23" i="9"/>
</calcChain>
</file>

<file path=xl/sharedStrings.xml><?xml version="1.0" encoding="utf-8"?>
<sst xmlns="http://schemas.openxmlformats.org/spreadsheetml/2006/main" count="93" uniqueCount="10">
  <si>
    <t>Am80/CT</t>
    <phoneticPr fontId="1"/>
  </si>
  <si>
    <t>Am80/PBS</t>
    <phoneticPr fontId="1"/>
  </si>
  <si>
    <t>DMSO/CT</t>
    <phoneticPr fontId="1"/>
  </si>
  <si>
    <t>DMSO/PBS</t>
    <phoneticPr fontId="1"/>
  </si>
  <si>
    <t>4(Am80)</t>
    <phoneticPr fontId="1"/>
  </si>
  <si>
    <t>5(CT1)</t>
    <phoneticPr fontId="1"/>
  </si>
  <si>
    <t>SD</t>
    <phoneticPr fontId="1"/>
  </si>
  <si>
    <t>Am80/CT</t>
  </si>
  <si>
    <t>DMSO/CT</t>
  </si>
  <si>
    <t>DMSO/PBS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</si>
</sst>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6920384951881E-2"/>
          <c:y val="5.9637912673056445E-2"/>
          <c:w val="0.89019685039370078"/>
          <c:h val="0.75687588572195252"/>
        </c:manualLayout>
      </c:layout>
      <c:lineChart>
        <c:grouping val="standard"/>
        <c:varyColors val="0"/>
        <c:ser>
          <c:idx val="0"/>
          <c:order val="0"/>
          <c:tx>
            <c:strRef>
              <c:f>WT!$A$23</c:f>
              <c:strCache>
                <c:ptCount val="1"/>
                <c:pt idx="0">
                  <c:v>Am80/CT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WT!$B$24:$L$24</c:f>
                <c:numCache>
                  <c:formatCode>General</c:formatCode>
                  <c:ptCount val="11"/>
                  <c:pt idx="0">
                    <c:v>22.607561719598955</c:v>
                  </c:pt>
                  <c:pt idx="1">
                    <c:v>26.242286268018674</c:v>
                  </c:pt>
                  <c:pt idx="2">
                    <c:v>49.073323282511033</c:v>
                  </c:pt>
                  <c:pt idx="3">
                    <c:v>44.399411282910997</c:v>
                  </c:pt>
                  <c:pt idx="4">
                    <c:v>59.588316810074467</c:v>
                  </c:pt>
                  <c:pt idx="5">
                    <c:v>57.925035314716361</c:v>
                  </c:pt>
                  <c:pt idx="6">
                    <c:v>61.931168315203259</c:v>
                  </c:pt>
                  <c:pt idx="7">
                    <c:v>59.977967197583965</c:v>
                  </c:pt>
                  <c:pt idx="8">
                    <c:v>61.229886234092547</c:v>
                  </c:pt>
                  <c:pt idx="9">
                    <c:v>63.830824582752349</c:v>
                  </c:pt>
                  <c:pt idx="10">
                    <c:v>54.04912209307475</c:v>
                  </c:pt>
                </c:numCache>
              </c:numRef>
            </c:plus>
            <c:minus>
              <c:numRef>
                <c:f>WT!$B$24:$L$24</c:f>
                <c:numCache>
                  <c:formatCode>General</c:formatCode>
                  <c:ptCount val="11"/>
                  <c:pt idx="0">
                    <c:v>22.607561719598955</c:v>
                  </c:pt>
                  <c:pt idx="1">
                    <c:v>26.242286268018674</c:v>
                  </c:pt>
                  <c:pt idx="2">
                    <c:v>49.073323282511033</c:v>
                  </c:pt>
                  <c:pt idx="3">
                    <c:v>44.399411282910997</c:v>
                  </c:pt>
                  <c:pt idx="4">
                    <c:v>59.588316810074467</c:v>
                  </c:pt>
                  <c:pt idx="5">
                    <c:v>57.925035314716361</c:v>
                  </c:pt>
                  <c:pt idx="6">
                    <c:v>61.931168315203259</c:v>
                  </c:pt>
                  <c:pt idx="7">
                    <c:v>59.977967197583965</c:v>
                  </c:pt>
                  <c:pt idx="8">
                    <c:v>61.229886234092547</c:v>
                  </c:pt>
                  <c:pt idx="9">
                    <c:v>63.830824582752349</c:v>
                  </c:pt>
                  <c:pt idx="10">
                    <c:v>54.04912209307475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WT!$B$23:$L$23</c:f>
              <c:numCache>
                <c:formatCode>General</c:formatCode>
                <c:ptCount val="11"/>
                <c:pt idx="0">
                  <c:v>149.2527623</c:v>
                </c:pt>
                <c:pt idx="1">
                  <c:v>172.18335020000001</c:v>
                </c:pt>
                <c:pt idx="2">
                  <c:v>216.8159307</c:v>
                </c:pt>
                <c:pt idx="3">
                  <c:v>227.22970059999997</c:v>
                </c:pt>
                <c:pt idx="4">
                  <c:v>244.57574329999997</c:v>
                </c:pt>
                <c:pt idx="5">
                  <c:v>210.55139219999995</c:v>
                </c:pt>
                <c:pt idx="6">
                  <c:v>215.01486589999999</c:v>
                </c:pt>
                <c:pt idx="7">
                  <c:v>188.23473929999997</c:v>
                </c:pt>
                <c:pt idx="8">
                  <c:v>192.68244840000003</c:v>
                </c:pt>
                <c:pt idx="9">
                  <c:v>177.48139999999998</c:v>
                </c:pt>
                <c:pt idx="10">
                  <c:v>181.4743292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8-4331-8FBE-5E7293D0FCA6}"/>
            </c:ext>
          </c:extLst>
        </c:ser>
        <c:ser>
          <c:idx val="2"/>
          <c:order val="1"/>
          <c:tx>
            <c:strRef>
              <c:f>WT!$A$27</c:f>
              <c:strCache>
                <c:ptCount val="1"/>
                <c:pt idx="0">
                  <c:v>DMSO/CT</c:v>
                </c:pt>
              </c:strCache>
            </c:strRef>
          </c:tx>
          <c:spPr>
            <a:ln w="12700" cap="rnd">
              <a:solidFill>
                <a:srgbClr val="92D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25400">
                <a:solidFill>
                  <a:srgbClr val="92D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WT!$B$28:$L$28</c:f>
                <c:numCache>
                  <c:formatCode>General</c:formatCode>
                  <c:ptCount val="11"/>
                  <c:pt idx="0">
                    <c:v>25.553126066782518</c:v>
                  </c:pt>
                  <c:pt idx="1">
                    <c:v>40.190301461021612</c:v>
                  </c:pt>
                  <c:pt idx="2">
                    <c:v>38.415235402879176</c:v>
                  </c:pt>
                  <c:pt idx="3">
                    <c:v>34.7376328087445</c:v>
                  </c:pt>
                  <c:pt idx="4">
                    <c:v>55.3452948131197</c:v>
                  </c:pt>
                  <c:pt idx="5">
                    <c:v>58.880904622776129</c:v>
                  </c:pt>
                  <c:pt idx="6">
                    <c:v>58.884596008535084</c:v>
                  </c:pt>
                  <c:pt idx="7">
                    <c:v>67.547934466875191</c:v>
                  </c:pt>
                  <c:pt idx="8">
                    <c:v>100.06426421579376</c:v>
                  </c:pt>
                  <c:pt idx="9">
                    <c:v>92.563414544034671</c:v>
                  </c:pt>
                  <c:pt idx="10">
                    <c:v>121.1850046887407</c:v>
                  </c:pt>
                </c:numCache>
              </c:numRef>
            </c:plus>
            <c:minus>
              <c:numRef>
                <c:f>WT!$B$28:$L$28</c:f>
                <c:numCache>
                  <c:formatCode>General</c:formatCode>
                  <c:ptCount val="11"/>
                  <c:pt idx="0">
                    <c:v>25.553126066782518</c:v>
                  </c:pt>
                  <c:pt idx="1">
                    <c:v>40.190301461021612</c:v>
                  </c:pt>
                  <c:pt idx="2">
                    <c:v>38.415235402879176</c:v>
                  </c:pt>
                  <c:pt idx="3">
                    <c:v>34.7376328087445</c:v>
                  </c:pt>
                  <c:pt idx="4">
                    <c:v>55.3452948131197</c:v>
                  </c:pt>
                  <c:pt idx="5">
                    <c:v>58.880904622776129</c:v>
                  </c:pt>
                  <c:pt idx="6">
                    <c:v>58.884596008535084</c:v>
                  </c:pt>
                  <c:pt idx="7">
                    <c:v>67.547934466875191</c:v>
                  </c:pt>
                  <c:pt idx="8">
                    <c:v>100.06426421579376</c:v>
                  </c:pt>
                  <c:pt idx="9">
                    <c:v>92.563414544034671</c:v>
                  </c:pt>
                  <c:pt idx="10">
                    <c:v>121.1850046887407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92D050"/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WT!$B$27:$L$27</c:f>
              <c:numCache>
                <c:formatCode>General</c:formatCode>
                <c:ptCount val="11"/>
                <c:pt idx="0">
                  <c:v>150.2886153</c:v>
                </c:pt>
                <c:pt idx="1">
                  <c:v>167.9271545</c:v>
                </c:pt>
                <c:pt idx="2">
                  <c:v>219.20993710000002</c:v>
                </c:pt>
                <c:pt idx="3">
                  <c:v>224.91037009999999</c:v>
                </c:pt>
                <c:pt idx="4">
                  <c:v>234.09462769999999</c:v>
                </c:pt>
                <c:pt idx="5">
                  <c:v>247.73600870000001</c:v>
                </c:pt>
                <c:pt idx="6">
                  <c:v>270.28282619999999</c:v>
                </c:pt>
                <c:pt idx="7">
                  <c:v>292.06830719999999</c:v>
                </c:pt>
                <c:pt idx="8">
                  <c:v>313.7131339</c:v>
                </c:pt>
                <c:pt idx="9">
                  <c:v>325.8487849</c:v>
                </c:pt>
                <c:pt idx="10">
                  <c:v>366.29975039999994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B8-4331-8FBE-5E7293D0FCA6}"/>
            </c:ext>
          </c:extLst>
        </c:ser>
        <c:ser>
          <c:idx val="1"/>
          <c:order val="2"/>
          <c:tx>
            <c:strRef>
              <c:f>WT!$A$25</c:f>
              <c:strCache>
                <c:ptCount val="1"/>
                <c:pt idx="0">
                  <c:v>Am80/PBS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WT!$B$26:$L$26</c:f>
                <c:numCache>
                  <c:formatCode>General</c:formatCode>
                  <c:ptCount val="11"/>
                  <c:pt idx="0">
                    <c:v>24.85480587294774</c:v>
                  </c:pt>
                  <c:pt idx="1">
                    <c:v>31.757010480567295</c:v>
                  </c:pt>
                  <c:pt idx="2">
                    <c:v>48.539159161148788</c:v>
                  </c:pt>
                  <c:pt idx="3">
                    <c:v>54.273743916491391</c:v>
                  </c:pt>
                  <c:pt idx="4">
                    <c:v>61.244342170745611</c:v>
                  </c:pt>
                  <c:pt idx="5">
                    <c:v>54.448999284760951</c:v>
                  </c:pt>
                  <c:pt idx="6">
                    <c:v>69.725287076142322</c:v>
                  </c:pt>
                  <c:pt idx="7">
                    <c:v>77.628948055813581</c:v>
                  </c:pt>
                  <c:pt idx="8">
                    <c:v>58.977004582205439</c:v>
                  </c:pt>
                  <c:pt idx="9">
                    <c:v>70.409590303981091</c:v>
                  </c:pt>
                  <c:pt idx="10">
                    <c:v>64.650356589311301</c:v>
                  </c:pt>
                </c:numCache>
              </c:numRef>
            </c:plus>
            <c:minus>
              <c:numRef>
                <c:f>WT!$B$26:$L$26</c:f>
                <c:numCache>
                  <c:formatCode>General</c:formatCode>
                  <c:ptCount val="11"/>
                  <c:pt idx="0">
                    <c:v>24.85480587294774</c:v>
                  </c:pt>
                  <c:pt idx="1">
                    <c:v>31.757010480567295</c:v>
                  </c:pt>
                  <c:pt idx="2">
                    <c:v>48.539159161148788</c:v>
                  </c:pt>
                  <c:pt idx="3">
                    <c:v>54.273743916491391</c:v>
                  </c:pt>
                  <c:pt idx="4">
                    <c:v>61.244342170745611</c:v>
                  </c:pt>
                  <c:pt idx="5">
                    <c:v>54.448999284760951</c:v>
                  </c:pt>
                  <c:pt idx="6">
                    <c:v>69.725287076142322</c:v>
                  </c:pt>
                  <c:pt idx="7">
                    <c:v>77.628948055813581</c:v>
                  </c:pt>
                  <c:pt idx="8">
                    <c:v>58.977004582205439</c:v>
                  </c:pt>
                  <c:pt idx="9">
                    <c:v>70.409590303981091</c:v>
                  </c:pt>
                  <c:pt idx="10">
                    <c:v>64.650356589311301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WT!$B$25:$L$25</c:f>
              <c:numCache>
                <c:formatCode>General</c:formatCode>
                <c:ptCount val="11"/>
                <c:pt idx="0">
                  <c:v>149.10809580000003</c:v>
                </c:pt>
                <c:pt idx="1">
                  <c:v>167.52048759999997</c:v>
                </c:pt>
                <c:pt idx="2">
                  <c:v>213.61220929999999</c:v>
                </c:pt>
                <c:pt idx="3">
                  <c:v>242.07938970000001</c:v>
                </c:pt>
                <c:pt idx="4">
                  <c:v>293.1084328</c:v>
                </c:pt>
                <c:pt idx="5">
                  <c:v>324.33694210000004</c:v>
                </c:pt>
                <c:pt idx="6">
                  <c:v>356.9409756</c:v>
                </c:pt>
                <c:pt idx="7">
                  <c:v>409.50173389999998</c:v>
                </c:pt>
                <c:pt idx="8">
                  <c:v>486.20410270000002</c:v>
                </c:pt>
                <c:pt idx="9">
                  <c:v>542.71329339999988</c:v>
                </c:pt>
                <c:pt idx="10">
                  <c:v>639.1589318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8-4331-8FBE-5E7293D0FCA6}"/>
            </c:ext>
          </c:extLst>
        </c:ser>
        <c:ser>
          <c:idx val="3"/>
          <c:order val="3"/>
          <c:tx>
            <c:strRef>
              <c:f>WT!$A$29</c:f>
              <c:strCache>
                <c:ptCount val="1"/>
                <c:pt idx="0">
                  <c:v>DMSO/PBS</c:v>
                </c:pt>
              </c:strCache>
            </c:strRef>
          </c:tx>
          <c:spPr>
            <a:ln w="12700" cap="rnd">
              <a:solidFill>
                <a:srgbClr val="7030A0">
                  <a:alpha val="99000"/>
                </a:srgb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WT!$B$30:$L$30</c:f>
                <c:numCache>
                  <c:formatCode>General</c:formatCode>
                  <c:ptCount val="11"/>
                  <c:pt idx="0">
                    <c:v>27.723828674000227</c:v>
                  </c:pt>
                  <c:pt idx="1">
                    <c:v>32.482605215670638</c:v>
                  </c:pt>
                  <c:pt idx="2">
                    <c:v>54.455321992126571</c:v>
                  </c:pt>
                  <c:pt idx="3">
                    <c:v>68.776928581956497</c:v>
                  </c:pt>
                  <c:pt idx="4">
                    <c:v>70.090892393177015</c:v>
                  </c:pt>
                  <c:pt idx="5">
                    <c:v>88.609110770294805</c:v>
                  </c:pt>
                  <c:pt idx="6">
                    <c:v>105.83825845918774</c:v>
                  </c:pt>
                  <c:pt idx="7">
                    <c:v>127.69381606980029</c:v>
                  </c:pt>
                  <c:pt idx="8">
                    <c:v>147.47535741208037</c:v>
                  </c:pt>
                  <c:pt idx="9">
                    <c:v>135.10169354647346</c:v>
                  </c:pt>
                  <c:pt idx="10">
                    <c:v>136.94741046752677</c:v>
                  </c:pt>
                </c:numCache>
              </c:numRef>
            </c:plus>
            <c:minus>
              <c:numRef>
                <c:f>WT!$B$30:$L$30</c:f>
                <c:numCache>
                  <c:formatCode>General</c:formatCode>
                  <c:ptCount val="11"/>
                  <c:pt idx="0">
                    <c:v>27.723828674000227</c:v>
                  </c:pt>
                  <c:pt idx="1">
                    <c:v>32.482605215670638</c:v>
                  </c:pt>
                  <c:pt idx="2">
                    <c:v>54.455321992126571</c:v>
                  </c:pt>
                  <c:pt idx="3">
                    <c:v>68.776928581956497</c:v>
                  </c:pt>
                  <c:pt idx="4">
                    <c:v>70.090892393177015</c:v>
                  </c:pt>
                  <c:pt idx="5">
                    <c:v>88.609110770294805</c:v>
                  </c:pt>
                  <c:pt idx="6">
                    <c:v>105.83825845918774</c:v>
                  </c:pt>
                  <c:pt idx="7">
                    <c:v>127.69381606980029</c:v>
                  </c:pt>
                  <c:pt idx="8">
                    <c:v>147.47535741208037</c:v>
                  </c:pt>
                  <c:pt idx="9">
                    <c:v>135.10169354647346</c:v>
                  </c:pt>
                  <c:pt idx="10">
                    <c:v>136.94741046752677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7030A0"/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WT!$B$29:$L$29</c:f>
              <c:numCache>
                <c:formatCode>General</c:formatCode>
                <c:ptCount val="11"/>
                <c:pt idx="0">
                  <c:v>148.92798389999999</c:v>
                </c:pt>
                <c:pt idx="1">
                  <c:v>172.62426669999999</c:v>
                </c:pt>
                <c:pt idx="2">
                  <c:v>222.17378489999996</c:v>
                </c:pt>
                <c:pt idx="3">
                  <c:v>265.52587929999999</c:v>
                </c:pt>
                <c:pt idx="4">
                  <c:v>311.0365898</c:v>
                </c:pt>
                <c:pt idx="5">
                  <c:v>359.9840188</c:v>
                </c:pt>
                <c:pt idx="6">
                  <c:v>445.5568725</c:v>
                </c:pt>
                <c:pt idx="7">
                  <c:v>502.9690488</c:v>
                </c:pt>
                <c:pt idx="8">
                  <c:v>552.18439599999999</c:v>
                </c:pt>
                <c:pt idx="9">
                  <c:v>600.1527317</c:v>
                </c:pt>
                <c:pt idx="10">
                  <c:v>650.49115999999992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B8-4331-8FBE-5E7293D0F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43008"/>
        <c:axId val="1290956320"/>
      </c:lineChart>
      <c:catAx>
        <c:axId val="12909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56320"/>
        <c:crosses val="autoZero"/>
        <c:auto val="1"/>
        <c:lblAlgn val="ctr"/>
        <c:lblOffset val="100"/>
        <c:noMultiLvlLbl val="0"/>
      </c:catAx>
      <c:valAx>
        <c:axId val="1290956320"/>
        <c:scaling>
          <c:orientation val="minMax"/>
          <c:max val="800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43008"/>
        <c:crosses val="autoZero"/>
        <c:crossBetween val="between"/>
        <c:majorUnit val="200"/>
        <c:min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469816272965882E-2"/>
          <c:y val="5.5378061767838126E-2"/>
          <c:w val="0.89019685039370078"/>
          <c:h val="0.75687588572195252"/>
        </c:manualLayout>
      </c:layout>
      <c:lineChart>
        <c:grouping val="standard"/>
        <c:varyColors val="0"/>
        <c:ser>
          <c:idx val="0"/>
          <c:order val="0"/>
          <c:tx>
            <c:strRef>
              <c:f>WT!$A$23</c:f>
              <c:strCache>
                <c:ptCount val="1"/>
                <c:pt idx="0">
                  <c:v>Am80/CT</c:v>
                </c:pt>
              </c:strCache>
            </c:strRef>
          </c:tx>
          <c:spPr>
            <a:ln w="508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WT!$B$24:$L$24</c:f>
                <c:numCache>
                  <c:formatCode>General</c:formatCode>
                  <c:ptCount val="11"/>
                  <c:pt idx="0">
                    <c:v>22.607561719598955</c:v>
                  </c:pt>
                  <c:pt idx="1">
                    <c:v>26.242286268018674</c:v>
                  </c:pt>
                  <c:pt idx="2">
                    <c:v>49.073323282511033</c:v>
                  </c:pt>
                  <c:pt idx="3">
                    <c:v>44.399411282910997</c:v>
                  </c:pt>
                  <c:pt idx="4">
                    <c:v>59.588316810074467</c:v>
                  </c:pt>
                  <c:pt idx="5">
                    <c:v>57.925035314716361</c:v>
                  </c:pt>
                  <c:pt idx="6">
                    <c:v>61.931168315203259</c:v>
                  </c:pt>
                  <c:pt idx="7">
                    <c:v>59.977967197583965</c:v>
                  </c:pt>
                  <c:pt idx="8">
                    <c:v>61.229886234092547</c:v>
                  </c:pt>
                  <c:pt idx="9">
                    <c:v>63.830824582752349</c:v>
                  </c:pt>
                  <c:pt idx="10">
                    <c:v>54.04912209307475</c:v>
                  </c:pt>
                </c:numCache>
              </c:numRef>
            </c:plus>
            <c:minus>
              <c:numRef>
                <c:f>WT!$B$24:$L$24</c:f>
                <c:numCache>
                  <c:formatCode>General</c:formatCode>
                  <c:ptCount val="11"/>
                  <c:pt idx="0">
                    <c:v>22.607561719598955</c:v>
                  </c:pt>
                  <c:pt idx="1">
                    <c:v>26.242286268018674</c:v>
                  </c:pt>
                  <c:pt idx="2">
                    <c:v>49.073323282511033</c:v>
                  </c:pt>
                  <c:pt idx="3">
                    <c:v>44.399411282910997</c:v>
                  </c:pt>
                  <c:pt idx="4">
                    <c:v>59.588316810074467</c:v>
                  </c:pt>
                  <c:pt idx="5">
                    <c:v>57.925035314716361</c:v>
                  </c:pt>
                  <c:pt idx="6">
                    <c:v>61.931168315203259</c:v>
                  </c:pt>
                  <c:pt idx="7">
                    <c:v>59.977967197583965</c:v>
                  </c:pt>
                  <c:pt idx="8">
                    <c:v>61.229886234092547</c:v>
                  </c:pt>
                  <c:pt idx="9">
                    <c:v>63.830824582752349</c:v>
                  </c:pt>
                  <c:pt idx="10">
                    <c:v>54.04912209307475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WT!$B$23:$L$23</c:f>
              <c:numCache>
                <c:formatCode>General</c:formatCode>
                <c:ptCount val="11"/>
                <c:pt idx="0">
                  <c:v>149.2527623</c:v>
                </c:pt>
                <c:pt idx="1">
                  <c:v>172.18335020000001</c:v>
                </c:pt>
                <c:pt idx="2">
                  <c:v>216.8159307</c:v>
                </c:pt>
                <c:pt idx="3">
                  <c:v>227.22970059999997</c:v>
                </c:pt>
                <c:pt idx="4">
                  <c:v>244.57574329999997</c:v>
                </c:pt>
                <c:pt idx="5">
                  <c:v>210.55139219999995</c:v>
                </c:pt>
                <c:pt idx="6">
                  <c:v>215.01486589999999</c:v>
                </c:pt>
                <c:pt idx="7">
                  <c:v>188.23473929999997</c:v>
                </c:pt>
                <c:pt idx="8">
                  <c:v>192.68244840000003</c:v>
                </c:pt>
                <c:pt idx="9">
                  <c:v>177.48139999999998</c:v>
                </c:pt>
                <c:pt idx="10">
                  <c:v>181.4743292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7-4915-8E78-7B39DB232D3B}"/>
            </c:ext>
          </c:extLst>
        </c:ser>
        <c:ser>
          <c:idx val="2"/>
          <c:order val="1"/>
          <c:tx>
            <c:strRef>
              <c:f>WT!$A$27</c:f>
              <c:strCache>
                <c:ptCount val="1"/>
                <c:pt idx="0">
                  <c:v>DMSO/CT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rgbClr val="92D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WT!$B$28:$L$28</c:f>
                <c:numCache>
                  <c:formatCode>General</c:formatCode>
                  <c:ptCount val="11"/>
                  <c:pt idx="0">
                    <c:v>25.553126066782518</c:v>
                  </c:pt>
                  <c:pt idx="1">
                    <c:v>40.190301461021612</c:v>
                  </c:pt>
                  <c:pt idx="2">
                    <c:v>38.415235402879176</c:v>
                  </c:pt>
                  <c:pt idx="3">
                    <c:v>34.7376328087445</c:v>
                  </c:pt>
                  <c:pt idx="4">
                    <c:v>55.3452948131197</c:v>
                  </c:pt>
                  <c:pt idx="5">
                    <c:v>58.880904622776129</c:v>
                  </c:pt>
                  <c:pt idx="6">
                    <c:v>58.884596008535084</c:v>
                  </c:pt>
                  <c:pt idx="7">
                    <c:v>67.547934466875191</c:v>
                  </c:pt>
                  <c:pt idx="8">
                    <c:v>100.06426421579376</c:v>
                  </c:pt>
                  <c:pt idx="9">
                    <c:v>92.563414544034671</c:v>
                  </c:pt>
                  <c:pt idx="10">
                    <c:v>121.1850046887407</c:v>
                  </c:pt>
                </c:numCache>
              </c:numRef>
            </c:plus>
            <c:minus>
              <c:numRef>
                <c:f>WT!$B$28:$L$28</c:f>
                <c:numCache>
                  <c:formatCode>General</c:formatCode>
                  <c:ptCount val="11"/>
                  <c:pt idx="0">
                    <c:v>25.553126066782518</c:v>
                  </c:pt>
                  <c:pt idx="1">
                    <c:v>40.190301461021612</c:v>
                  </c:pt>
                  <c:pt idx="2">
                    <c:v>38.415235402879176</c:v>
                  </c:pt>
                  <c:pt idx="3">
                    <c:v>34.7376328087445</c:v>
                  </c:pt>
                  <c:pt idx="4">
                    <c:v>55.3452948131197</c:v>
                  </c:pt>
                  <c:pt idx="5">
                    <c:v>58.880904622776129</c:v>
                  </c:pt>
                  <c:pt idx="6">
                    <c:v>58.884596008535084</c:v>
                  </c:pt>
                  <c:pt idx="7">
                    <c:v>67.547934466875191</c:v>
                  </c:pt>
                  <c:pt idx="8">
                    <c:v>100.06426421579376</c:v>
                  </c:pt>
                  <c:pt idx="9">
                    <c:v>92.563414544034671</c:v>
                  </c:pt>
                  <c:pt idx="10">
                    <c:v>121.1850046887407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92D050"/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WT!$B$27:$L$27</c:f>
              <c:numCache>
                <c:formatCode>General</c:formatCode>
                <c:ptCount val="11"/>
                <c:pt idx="0">
                  <c:v>150.2886153</c:v>
                </c:pt>
                <c:pt idx="1">
                  <c:v>167.9271545</c:v>
                </c:pt>
                <c:pt idx="2">
                  <c:v>219.20993710000002</c:v>
                </c:pt>
                <c:pt idx="3">
                  <c:v>224.91037009999999</c:v>
                </c:pt>
                <c:pt idx="4">
                  <c:v>234.09462769999999</c:v>
                </c:pt>
                <c:pt idx="5">
                  <c:v>247.73600870000001</c:v>
                </c:pt>
                <c:pt idx="6">
                  <c:v>270.28282619999999</c:v>
                </c:pt>
                <c:pt idx="7">
                  <c:v>292.06830719999999</c:v>
                </c:pt>
                <c:pt idx="8">
                  <c:v>313.7131339</c:v>
                </c:pt>
                <c:pt idx="9">
                  <c:v>325.8487849</c:v>
                </c:pt>
                <c:pt idx="10">
                  <c:v>366.29975039999994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7-4915-8E78-7B39DB232D3B}"/>
            </c:ext>
          </c:extLst>
        </c:ser>
        <c:ser>
          <c:idx val="1"/>
          <c:order val="2"/>
          <c:tx>
            <c:strRef>
              <c:f>WT!$A$25</c:f>
              <c:strCache>
                <c:ptCount val="1"/>
                <c:pt idx="0">
                  <c:v>Am80/PBS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508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WT!$B$26:$L$26</c:f>
                <c:numCache>
                  <c:formatCode>General</c:formatCode>
                  <c:ptCount val="11"/>
                  <c:pt idx="0">
                    <c:v>24.85480587294774</c:v>
                  </c:pt>
                  <c:pt idx="1">
                    <c:v>31.757010480567295</c:v>
                  </c:pt>
                  <c:pt idx="2">
                    <c:v>48.539159161148788</c:v>
                  </c:pt>
                  <c:pt idx="3">
                    <c:v>54.273743916491391</c:v>
                  </c:pt>
                  <c:pt idx="4">
                    <c:v>61.244342170745611</c:v>
                  </c:pt>
                  <c:pt idx="5">
                    <c:v>54.448999284760951</c:v>
                  </c:pt>
                  <c:pt idx="6">
                    <c:v>69.725287076142322</c:v>
                  </c:pt>
                  <c:pt idx="7">
                    <c:v>77.628948055813581</c:v>
                  </c:pt>
                  <c:pt idx="8">
                    <c:v>58.977004582205439</c:v>
                  </c:pt>
                  <c:pt idx="9">
                    <c:v>70.409590303981091</c:v>
                  </c:pt>
                  <c:pt idx="10">
                    <c:v>64.650356589311301</c:v>
                  </c:pt>
                </c:numCache>
              </c:numRef>
            </c:plus>
            <c:minus>
              <c:numRef>
                <c:f>WT!$B$26:$L$26</c:f>
                <c:numCache>
                  <c:formatCode>General</c:formatCode>
                  <c:ptCount val="11"/>
                  <c:pt idx="0">
                    <c:v>24.85480587294774</c:v>
                  </c:pt>
                  <c:pt idx="1">
                    <c:v>31.757010480567295</c:v>
                  </c:pt>
                  <c:pt idx="2">
                    <c:v>48.539159161148788</c:v>
                  </c:pt>
                  <c:pt idx="3">
                    <c:v>54.273743916491391</c:v>
                  </c:pt>
                  <c:pt idx="4">
                    <c:v>61.244342170745611</c:v>
                  </c:pt>
                  <c:pt idx="5">
                    <c:v>54.448999284760951</c:v>
                  </c:pt>
                  <c:pt idx="6">
                    <c:v>69.725287076142322</c:v>
                  </c:pt>
                  <c:pt idx="7">
                    <c:v>77.628948055813581</c:v>
                  </c:pt>
                  <c:pt idx="8">
                    <c:v>58.977004582205439</c:v>
                  </c:pt>
                  <c:pt idx="9">
                    <c:v>70.409590303981091</c:v>
                  </c:pt>
                  <c:pt idx="10">
                    <c:v>64.650356589311301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WT!$B$25:$L$25</c:f>
              <c:numCache>
                <c:formatCode>General</c:formatCode>
                <c:ptCount val="11"/>
                <c:pt idx="0">
                  <c:v>149.10809580000003</c:v>
                </c:pt>
                <c:pt idx="1">
                  <c:v>167.52048759999997</c:v>
                </c:pt>
                <c:pt idx="2">
                  <c:v>213.61220929999999</c:v>
                </c:pt>
                <c:pt idx="3">
                  <c:v>242.07938970000001</c:v>
                </c:pt>
                <c:pt idx="4">
                  <c:v>293.1084328</c:v>
                </c:pt>
                <c:pt idx="5">
                  <c:v>324.33694210000004</c:v>
                </c:pt>
                <c:pt idx="6">
                  <c:v>356.9409756</c:v>
                </c:pt>
                <c:pt idx="7">
                  <c:v>409.50173389999998</c:v>
                </c:pt>
                <c:pt idx="8">
                  <c:v>486.20410270000002</c:v>
                </c:pt>
                <c:pt idx="9">
                  <c:v>542.71329339999988</c:v>
                </c:pt>
                <c:pt idx="10">
                  <c:v>639.1589318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7-4915-8E78-7B39DB232D3B}"/>
            </c:ext>
          </c:extLst>
        </c:ser>
        <c:ser>
          <c:idx val="3"/>
          <c:order val="3"/>
          <c:tx>
            <c:strRef>
              <c:f>WT!$A$29</c:f>
              <c:strCache>
                <c:ptCount val="1"/>
                <c:pt idx="0">
                  <c:v>DMSO/PBS</c:v>
                </c:pt>
              </c:strCache>
            </c:strRef>
          </c:tx>
          <c:spPr>
            <a:ln w="508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50800">
                <a:solidFill>
                  <a:srgbClr val="7030A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WT!$B$30:$L$30</c:f>
                <c:numCache>
                  <c:formatCode>General</c:formatCode>
                  <c:ptCount val="11"/>
                  <c:pt idx="0">
                    <c:v>27.723828674000227</c:v>
                  </c:pt>
                  <c:pt idx="1">
                    <c:v>32.482605215670638</c:v>
                  </c:pt>
                  <c:pt idx="2">
                    <c:v>54.455321992126571</c:v>
                  </c:pt>
                  <c:pt idx="3">
                    <c:v>68.776928581956497</c:v>
                  </c:pt>
                  <c:pt idx="4">
                    <c:v>70.090892393177015</c:v>
                  </c:pt>
                  <c:pt idx="5">
                    <c:v>88.609110770294805</c:v>
                  </c:pt>
                  <c:pt idx="6">
                    <c:v>105.83825845918774</c:v>
                  </c:pt>
                  <c:pt idx="7">
                    <c:v>127.69381606980029</c:v>
                  </c:pt>
                  <c:pt idx="8">
                    <c:v>147.47535741208037</c:v>
                  </c:pt>
                  <c:pt idx="9">
                    <c:v>135.10169354647346</c:v>
                  </c:pt>
                  <c:pt idx="10">
                    <c:v>136.94741046752677</c:v>
                  </c:pt>
                </c:numCache>
              </c:numRef>
            </c:plus>
            <c:minus>
              <c:numRef>
                <c:f>WT!$B$30:$L$30</c:f>
                <c:numCache>
                  <c:formatCode>General</c:formatCode>
                  <c:ptCount val="11"/>
                  <c:pt idx="0">
                    <c:v>27.723828674000227</c:v>
                  </c:pt>
                  <c:pt idx="1">
                    <c:v>32.482605215670638</c:v>
                  </c:pt>
                  <c:pt idx="2">
                    <c:v>54.455321992126571</c:v>
                  </c:pt>
                  <c:pt idx="3">
                    <c:v>68.776928581956497</c:v>
                  </c:pt>
                  <c:pt idx="4">
                    <c:v>70.090892393177015</c:v>
                  </c:pt>
                  <c:pt idx="5">
                    <c:v>88.609110770294805</c:v>
                  </c:pt>
                  <c:pt idx="6">
                    <c:v>105.83825845918774</c:v>
                  </c:pt>
                  <c:pt idx="7">
                    <c:v>127.69381606980029</c:v>
                  </c:pt>
                  <c:pt idx="8">
                    <c:v>147.47535741208037</c:v>
                  </c:pt>
                  <c:pt idx="9">
                    <c:v>135.10169354647346</c:v>
                  </c:pt>
                  <c:pt idx="10">
                    <c:v>136.94741046752677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7030A0"/>
                </a:solidFill>
                <a:round/>
              </a:ln>
              <a:effectLst/>
            </c:spPr>
          </c:errBars>
          <c:cat>
            <c:numRef>
              <c:f>WT!$B$22:$L$22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WT!$B$29:$L$29</c:f>
              <c:numCache>
                <c:formatCode>General</c:formatCode>
                <c:ptCount val="11"/>
                <c:pt idx="0">
                  <c:v>148.92798389999999</c:v>
                </c:pt>
                <c:pt idx="1">
                  <c:v>172.62426669999999</c:v>
                </c:pt>
                <c:pt idx="2">
                  <c:v>222.17378489999996</c:v>
                </c:pt>
                <c:pt idx="3">
                  <c:v>265.52587929999999</c:v>
                </c:pt>
                <c:pt idx="4">
                  <c:v>311.0365898</c:v>
                </c:pt>
                <c:pt idx="5">
                  <c:v>359.9840188</c:v>
                </c:pt>
                <c:pt idx="6">
                  <c:v>445.5568725</c:v>
                </c:pt>
                <c:pt idx="7">
                  <c:v>502.9690488</c:v>
                </c:pt>
                <c:pt idx="8">
                  <c:v>552.18439599999999</c:v>
                </c:pt>
                <c:pt idx="9">
                  <c:v>600.1527317</c:v>
                </c:pt>
                <c:pt idx="10">
                  <c:v>650.49115999999992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E7-4915-8E78-7B39DB232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43008"/>
        <c:axId val="1290956320"/>
      </c:lineChart>
      <c:catAx>
        <c:axId val="12909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56320"/>
        <c:crosses val="autoZero"/>
        <c:auto val="1"/>
        <c:lblAlgn val="ctr"/>
        <c:lblOffset val="100"/>
        <c:noMultiLvlLbl val="0"/>
      </c:catAx>
      <c:valAx>
        <c:axId val="1290956320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302720790495997E-2"/>
          <c:y val="0.13057347670250899"/>
          <c:w val="0.90951845912109519"/>
          <c:h val="0.67919933395422349"/>
        </c:manualLayout>
      </c:layout>
      <c:lineChart>
        <c:grouping val="standard"/>
        <c:varyColors val="0"/>
        <c:ser>
          <c:idx val="0"/>
          <c:order val="0"/>
          <c:tx>
            <c:strRef>
              <c:f>'KO (2)'!$A$17</c:f>
              <c:strCache>
                <c:ptCount val="1"/>
                <c:pt idx="0">
                  <c:v>Am80/CT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508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'KO (2)'!$B$18:$L$18</c:f>
                <c:numCache>
                  <c:formatCode>General</c:formatCode>
                  <c:ptCount val="11"/>
                  <c:pt idx="0">
                    <c:v>35.57953645373351</c:v>
                  </c:pt>
                  <c:pt idx="1">
                    <c:v>59.161687352421858</c:v>
                  </c:pt>
                  <c:pt idx="2">
                    <c:v>58.610756675363511</c:v>
                  </c:pt>
                  <c:pt idx="3">
                    <c:v>82.084718453505118</c:v>
                  </c:pt>
                  <c:pt idx="4">
                    <c:v>70.108198585929841</c:v>
                  </c:pt>
                  <c:pt idx="5">
                    <c:v>88.350986514100242</c:v>
                  </c:pt>
                  <c:pt idx="6">
                    <c:v>99.652910380505986</c:v>
                  </c:pt>
                  <c:pt idx="7">
                    <c:v>99.26076436043769</c:v>
                  </c:pt>
                  <c:pt idx="8">
                    <c:v>125.3827278437723</c:v>
                  </c:pt>
                  <c:pt idx="9">
                    <c:v>106.54297539916305</c:v>
                  </c:pt>
                  <c:pt idx="10">
                    <c:v>138.04244672252054</c:v>
                  </c:pt>
                </c:numCache>
              </c:numRef>
            </c:plus>
            <c:minus>
              <c:numRef>
                <c:f>'KO (2)'!$B$18:$L$18</c:f>
                <c:numCache>
                  <c:formatCode>General</c:formatCode>
                  <c:ptCount val="11"/>
                  <c:pt idx="0">
                    <c:v>35.57953645373351</c:v>
                  </c:pt>
                  <c:pt idx="1">
                    <c:v>59.161687352421858</c:v>
                  </c:pt>
                  <c:pt idx="2">
                    <c:v>58.610756675363511</c:v>
                  </c:pt>
                  <c:pt idx="3">
                    <c:v>82.084718453505118</c:v>
                  </c:pt>
                  <c:pt idx="4">
                    <c:v>70.108198585929841</c:v>
                  </c:pt>
                  <c:pt idx="5">
                    <c:v>88.350986514100242</c:v>
                  </c:pt>
                  <c:pt idx="6">
                    <c:v>99.652910380505986</c:v>
                  </c:pt>
                  <c:pt idx="7">
                    <c:v>99.26076436043769</c:v>
                  </c:pt>
                  <c:pt idx="8">
                    <c:v>125.3827278437723</c:v>
                  </c:pt>
                  <c:pt idx="9">
                    <c:v>106.54297539916305</c:v>
                  </c:pt>
                  <c:pt idx="10">
                    <c:v>138.04244672252054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'KO (2)'!$B$23:$L$23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'KO (2)'!$B$17:$L$17</c:f>
              <c:numCache>
                <c:formatCode>General</c:formatCode>
                <c:ptCount val="11"/>
                <c:pt idx="0">
                  <c:v>155.70856733333332</c:v>
                </c:pt>
                <c:pt idx="1">
                  <c:v>192.99805566666669</c:v>
                </c:pt>
                <c:pt idx="2">
                  <c:v>221.87090233333331</c:v>
                </c:pt>
                <c:pt idx="3">
                  <c:v>242.27508483333335</c:v>
                </c:pt>
                <c:pt idx="4">
                  <c:v>229.81680091666666</c:v>
                </c:pt>
                <c:pt idx="5">
                  <c:v>233.36356191666667</c:v>
                </c:pt>
                <c:pt idx="6">
                  <c:v>244.91974883333339</c:v>
                </c:pt>
                <c:pt idx="7">
                  <c:v>249.19007233333332</c:v>
                </c:pt>
                <c:pt idx="8">
                  <c:v>262.43322733333338</c:v>
                </c:pt>
                <c:pt idx="9">
                  <c:v>260.1289635</c:v>
                </c:pt>
                <c:pt idx="10">
                  <c:v>295.91247749999997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77E-ACF9-ED9AA8707FF4}"/>
            </c:ext>
          </c:extLst>
        </c:ser>
        <c:ser>
          <c:idx val="1"/>
          <c:order val="1"/>
          <c:tx>
            <c:strRef>
              <c:f>'KO (2)'!$A$19</c:f>
              <c:strCache>
                <c:ptCount val="1"/>
                <c:pt idx="0">
                  <c:v>DMSO/CT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508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'KO (2)'!$B$20:$L$20</c:f>
                <c:numCache>
                  <c:formatCode>General</c:formatCode>
                  <c:ptCount val="11"/>
                  <c:pt idx="0">
                    <c:v>15.051868421205315</c:v>
                  </c:pt>
                  <c:pt idx="1">
                    <c:v>35.14297301272466</c:v>
                  </c:pt>
                  <c:pt idx="2">
                    <c:v>45.843117088938072</c:v>
                  </c:pt>
                  <c:pt idx="3">
                    <c:v>52.446708247893426</c:v>
                  </c:pt>
                  <c:pt idx="4">
                    <c:v>57.373948560451687</c:v>
                  </c:pt>
                  <c:pt idx="5">
                    <c:v>78.646625789190409</c:v>
                  </c:pt>
                  <c:pt idx="6">
                    <c:v>79.359968650185564</c:v>
                  </c:pt>
                  <c:pt idx="7">
                    <c:v>80.944109500170768</c:v>
                  </c:pt>
                  <c:pt idx="8">
                    <c:v>85.241308560445873</c:v>
                  </c:pt>
                  <c:pt idx="9">
                    <c:v>73.243118870033484</c:v>
                  </c:pt>
                  <c:pt idx="10">
                    <c:v>63.005605558504854</c:v>
                  </c:pt>
                </c:numCache>
              </c:numRef>
            </c:plus>
            <c:minus>
              <c:numRef>
                <c:f>'KO (2)'!$B$20:$L$20</c:f>
                <c:numCache>
                  <c:formatCode>General</c:formatCode>
                  <c:ptCount val="11"/>
                  <c:pt idx="0">
                    <c:v>15.051868421205315</c:v>
                  </c:pt>
                  <c:pt idx="1">
                    <c:v>35.14297301272466</c:v>
                  </c:pt>
                  <c:pt idx="2">
                    <c:v>45.843117088938072</c:v>
                  </c:pt>
                  <c:pt idx="3">
                    <c:v>52.446708247893426</c:v>
                  </c:pt>
                  <c:pt idx="4">
                    <c:v>57.373948560451687</c:v>
                  </c:pt>
                  <c:pt idx="5">
                    <c:v>78.646625789190409</c:v>
                  </c:pt>
                  <c:pt idx="6">
                    <c:v>79.359968650185564</c:v>
                  </c:pt>
                  <c:pt idx="7">
                    <c:v>80.944109500170768</c:v>
                  </c:pt>
                  <c:pt idx="8">
                    <c:v>85.241308560445873</c:v>
                  </c:pt>
                  <c:pt idx="9">
                    <c:v>73.243118870033484</c:v>
                  </c:pt>
                  <c:pt idx="10">
                    <c:v>63.005605558504854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'KO (2)'!$B$23:$L$23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'KO (2)'!$B$19:$L$19</c:f>
              <c:numCache>
                <c:formatCode>General</c:formatCode>
                <c:ptCount val="11"/>
                <c:pt idx="0">
                  <c:v>147.23164962499999</c:v>
                </c:pt>
                <c:pt idx="1">
                  <c:v>180.97199325000003</c:v>
                </c:pt>
                <c:pt idx="2">
                  <c:v>198.79324812499999</c:v>
                </c:pt>
                <c:pt idx="3">
                  <c:v>221.17459849999997</c:v>
                </c:pt>
                <c:pt idx="4">
                  <c:v>246.26060724999999</c:v>
                </c:pt>
                <c:pt idx="5">
                  <c:v>250.48784950000001</c:v>
                </c:pt>
                <c:pt idx="6">
                  <c:v>271.74018174999998</c:v>
                </c:pt>
                <c:pt idx="7">
                  <c:v>274.99046737500004</c:v>
                </c:pt>
                <c:pt idx="8">
                  <c:v>267.40891949999997</c:v>
                </c:pt>
                <c:pt idx="9">
                  <c:v>248.938036625</c:v>
                </c:pt>
                <c:pt idx="10">
                  <c:v>266.00073800000001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77E-ACF9-ED9AA8707FF4}"/>
            </c:ext>
          </c:extLst>
        </c:ser>
        <c:ser>
          <c:idx val="2"/>
          <c:order val="2"/>
          <c:tx>
            <c:strRef>
              <c:f>'KO (2)'!$A$21</c:f>
              <c:strCache>
                <c:ptCount val="1"/>
                <c:pt idx="0">
                  <c:v>DMSO/PBS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50800">
                <a:solidFill>
                  <a:srgbClr val="92D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'KO (2)'!$B$22:$L$22</c:f>
                <c:numCache>
                  <c:formatCode>General</c:formatCode>
                  <c:ptCount val="11"/>
                  <c:pt idx="0">
                    <c:v>50.262285114592913</c:v>
                  </c:pt>
                  <c:pt idx="1">
                    <c:v>75.13445519608824</c:v>
                  </c:pt>
                  <c:pt idx="2">
                    <c:v>84.028180877897213</c:v>
                  </c:pt>
                  <c:pt idx="3">
                    <c:v>102.7054750319884</c:v>
                  </c:pt>
                  <c:pt idx="4">
                    <c:v>117.37422005801258</c:v>
                  </c:pt>
                  <c:pt idx="5">
                    <c:v>98.938965772509448</c:v>
                  </c:pt>
                  <c:pt idx="6">
                    <c:v>77.389866487931499</c:v>
                  </c:pt>
                  <c:pt idx="7">
                    <c:v>78.280481263459777</c:v>
                  </c:pt>
                  <c:pt idx="8">
                    <c:v>50.088791891173699</c:v>
                  </c:pt>
                  <c:pt idx="9">
                    <c:v>61.161826528129176</c:v>
                  </c:pt>
                  <c:pt idx="10">
                    <c:v>99.03367987965126</c:v>
                  </c:pt>
                </c:numCache>
              </c:numRef>
            </c:plus>
            <c:minus>
              <c:numRef>
                <c:f>'KO (2)'!$B$22:$L$22</c:f>
                <c:numCache>
                  <c:formatCode>General</c:formatCode>
                  <c:ptCount val="11"/>
                  <c:pt idx="0">
                    <c:v>50.262285114592913</c:v>
                  </c:pt>
                  <c:pt idx="1">
                    <c:v>75.13445519608824</c:v>
                  </c:pt>
                  <c:pt idx="2">
                    <c:v>84.028180877897213</c:v>
                  </c:pt>
                  <c:pt idx="3">
                    <c:v>102.7054750319884</c:v>
                  </c:pt>
                  <c:pt idx="4">
                    <c:v>117.37422005801258</c:v>
                  </c:pt>
                  <c:pt idx="5">
                    <c:v>98.938965772509448</c:v>
                  </c:pt>
                  <c:pt idx="6">
                    <c:v>77.389866487931499</c:v>
                  </c:pt>
                  <c:pt idx="7">
                    <c:v>78.280481263459777</c:v>
                  </c:pt>
                  <c:pt idx="8">
                    <c:v>50.088791891173699</c:v>
                  </c:pt>
                  <c:pt idx="9">
                    <c:v>61.161826528129176</c:v>
                  </c:pt>
                  <c:pt idx="10">
                    <c:v>99.03367987965126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92D050"/>
                </a:solidFill>
                <a:round/>
              </a:ln>
              <a:effectLst/>
            </c:spPr>
          </c:errBars>
          <c:cat>
            <c:numRef>
              <c:f>'KO (2)'!$B$23:$L$23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'KO (2)'!$B$21:$L$21</c:f>
              <c:numCache>
                <c:formatCode>General</c:formatCode>
                <c:ptCount val="11"/>
                <c:pt idx="0">
                  <c:v>132.66221279999999</c:v>
                </c:pt>
                <c:pt idx="1">
                  <c:v>172.11438279999999</c:v>
                </c:pt>
                <c:pt idx="2">
                  <c:v>198.21719430000002</c:v>
                </c:pt>
                <c:pt idx="3">
                  <c:v>240.01665929999999</c:v>
                </c:pt>
                <c:pt idx="4">
                  <c:v>296.42954079999998</c:v>
                </c:pt>
                <c:pt idx="5">
                  <c:v>332.47485740000002</c:v>
                </c:pt>
                <c:pt idx="6">
                  <c:v>374.2989311</c:v>
                </c:pt>
                <c:pt idx="7">
                  <c:v>402.38293269999997</c:v>
                </c:pt>
                <c:pt idx="8">
                  <c:v>440.27356840000004</c:v>
                </c:pt>
                <c:pt idx="9">
                  <c:v>479.58207240000002</c:v>
                </c:pt>
                <c:pt idx="10">
                  <c:v>530.9335129000001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79-477E-ACF9-ED9AA8707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116768"/>
        <c:axId val="1418103872"/>
      </c:lineChart>
      <c:catAx>
        <c:axId val="14181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8103872"/>
        <c:crosses val="autoZero"/>
        <c:auto val="1"/>
        <c:lblAlgn val="ctr"/>
        <c:lblOffset val="100"/>
        <c:noMultiLvlLbl val="0"/>
      </c:catAx>
      <c:valAx>
        <c:axId val="14181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81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664260717410319E-2"/>
          <c:y val="3.4078807241746542E-2"/>
          <c:w val="0.89019685039370078"/>
          <c:h val="0.75687588572195252"/>
        </c:manualLayout>
      </c:layout>
      <c:lineChart>
        <c:grouping val="standard"/>
        <c:varyColors val="0"/>
        <c:ser>
          <c:idx val="0"/>
          <c:order val="0"/>
          <c:tx>
            <c:strRef>
              <c:f>'WT-BW'!$A$23</c:f>
              <c:strCache>
                <c:ptCount val="1"/>
                <c:pt idx="0">
                  <c:v>Am80/CT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'WT-BW'!$B$23:$L$23</c:f>
              <c:numCache>
                <c:formatCode>General</c:formatCode>
                <c:ptCount val="11"/>
                <c:pt idx="0">
                  <c:v>18.72</c:v>
                </c:pt>
                <c:pt idx="1">
                  <c:v>18.600000000000001</c:v>
                </c:pt>
                <c:pt idx="2">
                  <c:v>18.78</c:v>
                </c:pt>
                <c:pt idx="3">
                  <c:v>18.64</c:v>
                </c:pt>
                <c:pt idx="4">
                  <c:v>19.399999999999999</c:v>
                </c:pt>
                <c:pt idx="5">
                  <c:v>19.02</c:v>
                </c:pt>
                <c:pt idx="6">
                  <c:v>19.979999999999997</c:v>
                </c:pt>
                <c:pt idx="7">
                  <c:v>19.46</c:v>
                </c:pt>
                <c:pt idx="8">
                  <c:v>19.38</c:v>
                </c:pt>
                <c:pt idx="9">
                  <c:v>19.2</c:v>
                </c:pt>
                <c:pt idx="10">
                  <c:v>18.940000000000001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2-4CA1-8BA7-D96615B53A76}"/>
            </c:ext>
          </c:extLst>
        </c:ser>
        <c:ser>
          <c:idx val="2"/>
          <c:order val="1"/>
          <c:tx>
            <c:strRef>
              <c:f>'WT-BW'!$A$27</c:f>
              <c:strCache>
                <c:ptCount val="1"/>
                <c:pt idx="0">
                  <c:v>DMSO/CT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'WT-BW'!$B$27:$L$27</c:f>
              <c:numCache>
                <c:formatCode>General</c:formatCode>
                <c:ptCount val="11"/>
                <c:pt idx="0">
                  <c:v>18.98</c:v>
                </c:pt>
                <c:pt idx="1">
                  <c:v>19.12</c:v>
                </c:pt>
                <c:pt idx="2">
                  <c:v>19.419999999999998</c:v>
                </c:pt>
                <c:pt idx="3">
                  <c:v>19.86</c:v>
                </c:pt>
                <c:pt idx="4">
                  <c:v>20.3</c:v>
                </c:pt>
                <c:pt idx="5">
                  <c:v>20.28</c:v>
                </c:pt>
                <c:pt idx="6">
                  <c:v>20.96</c:v>
                </c:pt>
                <c:pt idx="7">
                  <c:v>20.46</c:v>
                </c:pt>
                <c:pt idx="8">
                  <c:v>20.68</c:v>
                </c:pt>
                <c:pt idx="9">
                  <c:v>20.52</c:v>
                </c:pt>
                <c:pt idx="10">
                  <c:v>20.139999999999997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02-4CA1-8BA7-D96615B53A76}"/>
            </c:ext>
          </c:extLst>
        </c:ser>
        <c:ser>
          <c:idx val="1"/>
          <c:order val="2"/>
          <c:tx>
            <c:strRef>
              <c:f>'WT-BW'!$A$25</c:f>
              <c:strCache>
                <c:ptCount val="1"/>
                <c:pt idx="0">
                  <c:v>Am80/PBS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'WT-BW'!$B$25:$L$25</c:f>
              <c:numCache>
                <c:formatCode>General</c:formatCode>
                <c:ptCount val="11"/>
                <c:pt idx="0">
                  <c:v>19.259999999999998</c:v>
                </c:pt>
                <c:pt idx="1">
                  <c:v>18.660000000000004</c:v>
                </c:pt>
                <c:pt idx="2">
                  <c:v>18.660000000000004</c:v>
                </c:pt>
                <c:pt idx="3">
                  <c:v>19.600000000000001</c:v>
                </c:pt>
                <c:pt idx="4">
                  <c:v>19.48</c:v>
                </c:pt>
                <c:pt idx="5">
                  <c:v>19.919999999999998</c:v>
                </c:pt>
                <c:pt idx="6">
                  <c:v>20.580000000000002</c:v>
                </c:pt>
                <c:pt idx="7">
                  <c:v>20.62</c:v>
                </c:pt>
                <c:pt idx="8">
                  <c:v>20.7</c:v>
                </c:pt>
                <c:pt idx="9">
                  <c:v>20.399999999999999</c:v>
                </c:pt>
                <c:pt idx="10">
                  <c:v>20.660000000000004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2-4CA1-8BA7-D96615B53A76}"/>
            </c:ext>
          </c:extLst>
        </c:ser>
        <c:ser>
          <c:idx val="3"/>
          <c:order val="3"/>
          <c:tx>
            <c:strRef>
              <c:f>'WT-BW'!$A$29</c:f>
              <c:strCache>
                <c:ptCount val="1"/>
                <c:pt idx="0">
                  <c:v>DMSO/PBS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'WT-BW'!$B$29:$L$29</c:f>
              <c:numCache>
                <c:formatCode>General</c:formatCode>
                <c:ptCount val="11"/>
                <c:pt idx="0">
                  <c:v>19.580000000000002</c:v>
                </c:pt>
                <c:pt idx="1">
                  <c:v>19.3</c:v>
                </c:pt>
                <c:pt idx="2">
                  <c:v>19.64</c:v>
                </c:pt>
                <c:pt idx="3">
                  <c:v>20.12</c:v>
                </c:pt>
                <c:pt idx="4">
                  <c:v>20.16</c:v>
                </c:pt>
                <c:pt idx="5">
                  <c:v>20.420000000000002</c:v>
                </c:pt>
                <c:pt idx="6">
                  <c:v>20.96</c:v>
                </c:pt>
                <c:pt idx="7">
                  <c:v>20.759999999999998</c:v>
                </c:pt>
                <c:pt idx="8">
                  <c:v>20.559999999999995</c:v>
                </c:pt>
                <c:pt idx="9">
                  <c:v>20.58</c:v>
                </c:pt>
                <c:pt idx="10">
                  <c:v>20.34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02-4CA1-8BA7-D96615B53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43008"/>
        <c:axId val="1290956320"/>
      </c:lineChart>
      <c:catAx>
        <c:axId val="12909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56320"/>
        <c:crosses val="autoZero"/>
        <c:auto val="1"/>
        <c:lblAlgn val="ctr"/>
        <c:lblOffset val="100"/>
        <c:noMultiLvlLbl val="0"/>
      </c:catAx>
      <c:valAx>
        <c:axId val="1290956320"/>
        <c:scaling>
          <c:orientation val="minMax"/>
          <c:max val="22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46652752743257E-2"/>
          <c:y val="5.599268233806081E-2"/>
          <c:w val="0.89019685039370078"/>
          <c:h val="0.75687588572195252"/>
        </c:manualLayout>
      </c:layout>
      <c:lineChart>
        <c:grouping val="standard"/>
        <c:varyColors val="0"/>
        <c:ser>
          <c:idx val="0"/>
          <c:order val="0"/>
          <c:tx>
            <c:strRef>
              <c:f>'WT-BW'!$A$23</c:f>
              <c:strCache>
                <c:ptCount val="1"/>
                <c:pt idx="0">
                  <c:v>Am80/CT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508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'WT-BW'!$B$24:$L$24</c:f>
                <c:numCache>
                  <c:formatCode>General</c:formatCode>
                  <c:ptCount val="11"/>
                  <c:pt idx="0">
                    <c:v>1.0639548862616317</c:v>
                  </c:pt>
                  <c:pt idx="1">
                    <c:v>1.0271319292087069</c:v>
                  </c:pt>
                  <c:pt idx="2">
                    <c:v>0.94445751624940832</c:v>
                  </c:pt>
                  <c:pt idx="3">
                    <c:v>1.0644247272588137</c:v>
                  </c:pt>
                  <c:pt idx="4">
                    <c:v>1.0222524150130439</c:v>
                  </c:pt>
                  <c:pt idx="5">
                    <c:v>1.0497618777608573</c:v>
                  </c:pt>
                  <c:pt idx="6">
                    <c:v>0.8955445270895237</c:v>
                  </c:pt>
                  <c:pt idx="7">
                    <c:v>0.68044103344816009</c:v>
                  </c:pt>
                  <c:pt idx="8">
                    <c:v>0.89833178725902807</c:v>
                  </c:pt>
                  <c:pt idx="9">
                    <c:v>1.4422205101855958</c:v>
                  </c:pt>
                  <c:pt idx="10">
                    <c:v>1.7038192392387168</c:v>
                  </c:pt>
                </c:numCache>
              </c:numRef>
            </c:plus>
            <c:minus>
              <c:numRef>
                <c:f>'WT-BW'!$B$24:$L$24</c:f>
                <c:numCache>
                  <c:formatCode>General</c:formatCode>
                  <c:ptCount val="11"/>
                  <c:pt idx="0">
                    <c:v>1.0639548862616317</c:v>
                  </c:pt>
                  <c:pt idx="1">
                    <c:v>1.0271319292087069</c:v>
                  </c:pt>
                  <c:pt idx="2">
                    <c:v>0.94445751624940832</c:v>
                  </c:pt>
                  <c:pt idx="3">
                    <c:v>1.0644247272588137</c:v>
                  </c:pt>
                  <c:pt idx="4">
                    <c:v>1.0222524150130439</c:v>
                  </c:pt>
                  <c:pt idx="5">
                    <c:v>1.0497618777608573</c:v>
                  </c:pt>
                  <c:pt idx="6">
                    <c:v>0.8955445270895237</c:v>
                  </c:pt>
                  <c:pt idx="7">
                    <c:v>0.68044103344816009</c:v>
                  </c:pt>
                  <c:pt idx="8">
                    <c:v>0.89833178725902807</c:v>
                  </c:pt>
                  <c:pt idx="9">
                    <c:v>1.4422205101855958</c:v>
                  </c:pt>
                  <c:pt idx="10">
                    <c:v>1.7038192392387168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'WT-BW'!$B$23:$L$23</c:f>
              <c:numCache>
                <c:formatCode>General</c:formatCode>
                <c:ptCount val="11"/>
                <c:pt idx="0">
                  <c:v>18.72</c:v>
                </c:pt>
                <c:pt idx="1">
                  <c:v>18.600000000000001</c:v>
                </c:pt>
                <c:pt idx="2">
                  <c:v>18.78</c:v>
                </c:pt>
                <c:pt idx="3">
                  <c:v>18.64</c:v>
                </c:pt>
                <c:pt idx="4">
                  <c:v>19.399999999999999</c:v>
                </c:pt>
                <c:pt idx="5">
                  <c:v>19.02</c:v>
                </c:pt>
                <c:pt idx="6">
                  <c:v>19.979999999999997</c:v>
                </c:pt>
                <c:pt idx="7">
                  <c:v>19.46</c:v>
                </c:pt>
                <c:pt idx="8">
                  <c:v>19.38</c:v>
                </c:pt>
                <c:pt idx="9">
                  <c:v>19.2</c:v>
                </c:pt>
                <c:pt idx="10">
                  <c:v>18.940000000000001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9-4765-8382-370957C34A3E}"/>
            </c:ext>
          </c:extLst>
        </c:ser>
        <c:ser>
          <c:idx val="2"/>
          <c:order val="1"/>
          <c:tx>
            <c:strRef>
              <c:f>'WT-BW'!$A$27</c:f>
              <c:strCache>
                <c:ptCount val="1"/>
                <c:pt idx="0">
                  <c:v>DMSO/CT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50800">
                <a:solidFill>
                  <a:srgbClr val="92D05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'WT-BW'!$B$28:$L$28</c:f>
                <c:numCache>
                  <c:formatCode>General</c:formatCode>
                  <c:ptCount val="11"/>
                  <c:pt idx="0">
                    <c:v>1.2316655390161724</c:v>
                  </c:pt>
                  <c:pt idx="1">
                    <c:v>1.1903780911962378</c:v>
                  </c:pt>
                  <c:pt idx="2">
                    <c:v>1.068644000591404</c:v>
                  </c:pt>
                  <c:pt idx="3">
                    <c:v>0.98132563402776785</c:v>
                  </c:pt>
                  <c:pt idx="4">
                    <c:v>1.1313708498984758</c:v>
                  </c:pt>
                  <c:pt idx="5">
                    <c:v>1.2477980605851251</c:v>
                  </c:pt>
                  <c:pt idx="6">
                    <c:v>0.87920418561333147</c:v>
                  </c:pt>
                  <c:pt idx="7">
                    <c:v>1.0644247272588128</c:v>
                  </c:pt>
                  <c:pt idx="8">
                    <c:v>1.0232301793829186</c:v>
                  </c:pt>
                  <c:pt idx="9">
                    <c:v>1.0009995004993764</c:v>
                  </c:pt>
                  <c:pt idx="10">
                    <c:v>1.1326958991715301</c:v>
                  </c:pt>
                </c:numCache>
              </c:numRef>
            </c:plus>
            <c:minus>
              <c:numRef>
                <c:f>'WT-BW'!$B$28:$L$28</c:f>
                <c:numCache>
                  <c:formatCode>General</c:formatCode>
                  <c:ptCount val="11"/>
                  <c:pt idx="0">
                    <c:v>1.2316655390161724</c:v>
                  </c:pt>
                  <c:pt idx="1">
                    <c:v>1.1903780911962378</c:v>
                  </c:pt>
                  <c:pt idx="2">
                    <c:v>1.068644000591404</c:v>
                  </c:pt>
                  <c:pt idx="3">
                    <c:v>0.98132563402776785</c:v>
                  </c:pt>
                  <c:pt idx="4">
                    <c:v>1.1313708498984758</c:v>
                  </c:pt>
                  <c:pt idx="5">
                    <c:v>1.2477980605851251</c:v>
                  </c:pt>
                  <c:pt idx="6">
                    <c:v>0.87920418561333147</c:v>
                  </c:pt>
                  <c:pt idx="7">
                    <c:v>1.0644247272588128</c:v>
                  </c:pt>
                  <c:pt idx="8">
                    <c:v>1.0232301793829186</c:v>
                  </c:pt>
                  <c:pt idx="9">
                    <c:v>1.0009995004993764</c:v>
                  </c:pt>
                  <c:pt idx="10">
                    <c:v>1.1326958991715301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92D050"/>
                </a:solidFill>
                <a:round/>
              </a:ln>
              <a:effectLst/>
            </c:spPr>
          </c:errBars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'WT-BW'!$B$27:$L$27</c:f>
              <c:numCache>
                <c:formatCode>General</c:formatCode>
                <c:ptCount val="11"/>
                <c:pt idx="0">
                  <c:v>18.98</c:v>
                </c:pt>
                <c:pt idx="1">
                  <c:v>19.12</c:v>
                </c:pt>
                <c:pt idx="2">
                  <c:v>19.419999999999998</c:v>
                </c:pt>
                <c:pt idx="3">
                  <c:v>19.86</c:v>
                </c:pt>
                <c:pt idx="4">
                  <c:v>20.3</c:v>
                </c:pt>
                <c:pt idx="5">
                  <c:v>20.28</c:v>
                </c:pt>
                <c:pt idx="6">
                  <c:v>20.96</c:v>
                </c:pt>
                <c:pt idx="7">
                  <c:v>20.46</c:v>
                </c:pt>
                <c:pt idx="8">
                  <c:v>20.68</c:v>
                </c:pt>
                <c:pt idx="9">
                  <c:v>20.52</c:v>
                </c:pt>
                <c:pt idx="10">
                  <c:v>20.139999999999997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9-4765-8382-370957C34A3E}"/>
            </c:ext>
          </c:extLst>
        </c:ser>
        <c:ser>
          <c:idx val="1"/>
          <c:order val="2"/>
          <c:tx>
            <c:strRef>
              <c:f>'WT-BW'!$A$25</c:f>
              <c:strCache>
                <c:ptCount val="1"/>
                <c:pt idx="0">
                  <c:v>Am80/PBS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508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'WT-BW'!$B$26:$L$26</c:f>
                <c:numCache>
                  <c:formatCode>General</c:formatCode>
                  <c:ptCount val="11"/>
                  <c:pt idx="0">
                    <c:v>1.0334408546211045</c:v>
                  </c:pt>
                  <c:pt idx="1">
                    <c:v>0.74699397587932415</c:v>
                  </c:pt>
                  <c:pt idx="2">
                    <c:v>0.41593268686170853</c:v>
                  </c:pt>
                  <c:pt idx="3">
                    <c:v>0.7905694150420941</c:v>
                  </c:pt>
                  <c:pt idx="4">
                    <c:v>0.98081598681913917</c:v>
                  </c:pt>
                  <c:pt idx="5">
                    <c:v>0.58051701094800023</c:v>
                  </c:pt>
                  <c:pt idx="6">
                    <c:v>0.8955445270895237</c:v>
                  </c:pt>
                  <c:pt idx="7">
                    <c:v>0.96540147089177297</c:v>
                  </c:pt>
                  <c:pt idx="8">
                    <c:v>0.9823441352194251</c:v>
                  </c:pt>
                  <c:pt idx="9">
                    <c:v>0.85440037453175366</c:v>
                  </c:pt>
                  <c:pt idx="10">
                    <c:v>0.69498201415576222</c:v>
                  </c:pt>
                </c:numCache>
              </c:numRef>
            </c:plus>
            <c:minus>
              <c:numRef>
                <c:f>'WT-BW'!$B$26:$L$26</c:f>
                <c:numCache>
                  <c:formatCode>General</c:formatCode>
                  <c:ptCount val="11"/>
                  <c:pt idx="0">
                    <c:v>1.0334408546211045</c:v>
                  </c:pt>
                  <c:pt idx="1">
                    <c:v>0.74699397587932415</c:v>
                  </c:pt>
                  <c:pt idx="2">
                    <c:v>0.41593268686170853</c:v>
                  </c:pt>
                  <c:pt idx="3">
                    <c:v>0.7905694150420941</c:v>
                  </c:pt>
                  <c:pt idx="4">
                    <c:v>0.98081598681913917</c:v>
                  </c:pt>
                  <c:pt idx="5">
                    <c:v>0.58051701094800023</c:v>
                  </c:pt>
                  <c:pt idx="6">
                    <c:v>0.8955445270895237</c:v>
                  </c:pt>
                  <c:pt idx="7">
                    <c:v>0.96540147089177297</c:v>
                  </c:pt>
                  <c:pt idx="8">
                    <c:v>0.9823441352194251</c:v>
                  </c:pt>
                  <c:pt idx="9">
                    <c:v>0.85440037453175366</c:v>
                  </c:pt>
                  <c:pt idx="10">
                    <c:v>0.69498201415576222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'WT-BW'!$B$25:$L$25</c:f>
              <c:numCache>
                <c:formatCode>General</c:formatCode>
                <c:ptCount val="11"/>
                <c:pt idx="0">
                  <c:v>19.259999999999998</c:v>
                </c:pt>
                <c:pt idx="1">
                  <c:v>18.660000000000004</c:v>
                </c:pt>
                <c:pt idx="2">
                  <c:v>18.660000000000004</c:v>
                </c:pt>
                <c:pt idx="3">
                  <c:v>19.600000000000001</c:v>
                </c:pt>
                <c:pt idx="4">
                  <c:v>19.48</c:v>
                </c:pt>
                <c:pt idx="5">
                  <c:v>19.919999999999998</c:v>
                </c:pt>
                <c:pt idx="6">
                  <c:v>20.580000000000002</c:v>
                </c:pt>
                <c:pt idx="7">
                  <c:v>20.62</c:v>
                </c:pt>
                <c:pt idx="8">
                  <c:v>20.7</c:v>
                </c:pt>
                <c:pt idx="9">
                  <c:v>20.399999999999999</c:v>
                </c:pt>
                <c:pt idx="10">
                  <c:v>20.660000000000004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99-4765-8382-370957C34A3E}"/>
            </c:ext>
          </c:extLst>
        </c:ser>
        <c:ser>
          <c:idx val="3"/>
          <c:order val="3"/>
          <c:tx>
            <c:strRef>
              <c:f>'WT-BW'!$A$29</c:f>
              <c:strCache>
                <c:ptCount val="1"/>
                <c:pt idx="0">
                  <c:v>DMSO/PBS</c:v>
                </c:pt>
              </c:strCache>
            </c:strRef>
          </c:tx>
          <c:spPr>
            <a:ln w="508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50800">
                <a:solidFill>
                  <a:srgbClr val="7030A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'WT-BW'!$B$30:$L$30</c:f>
                <c:numCache>
                  <c:formatCode>General</c:formatCode>
                  <c:ptCount val="11"/>
                  <c:pt idx="0">
                    <c:v>0.71554175279993359</c:v>
                  </c:pt>
                  <c:pt idx="1">
                    <c:v>1.1768602295939818</c:v>
                  </c:pt>
                  <c:pt idx="2">
                    <c:v>1.2501999840025588</c:v>
                  </c:pt>
                  <c:pt idx="3">
                    <c:v>1.2676750372236572</c:v>
                  </c:pt>
                  <c:pt idx="4">
                    <c:v>1.2401612798341999</c:v>
                  </c:pt>
                  <c:pt idx="5">
                    <c:v>1.0592450141492284</c:v>
                  </c:pt>
                  <c:pt idx="6">
                    <c:v>1.1036303729057115</c:v>
                  </c:pt>
                  <c:pt idx="7">
                    <c:v>0.9396807968666806</c:v>
                  </c:pt>
                  <c:pt idx="8">
                    <c:v>1.2116104984688778</c:v>
                  </c:pt>
                  <c:pt idx="9">
                    <c:v>1.6346253393362036</c:v>
                  </c:pt>
                  <c:pt idx="10">
                    <c:v>1.6637307474468337</c:v>
                  </c:pt>
                </c:numCache>
              </c:numRef>
            </c:plus>
            <c:minus>
              <c:numRef>
                <c:f>'WT-BW'!$B$30:$L$30</c:f>
                <c:numCache>
                  <c:formatCode>General</c:formatCode>
                  <c:ptCount val="11"/>
                  <c:pt idx="0">
                    <c:v>0.71554175279993359</c:v>
                  </c:pt>
                  <c:pt idx="1">
                    <c:v>1.1768602295939818</c:v>
                  </c:pt>
                  <c:pt idx="2">
                    <c:v>1.2501999840025588</c:v>
                  </c:pt>
                  <c:pt idx="3">
                    <c:v>1.2676750372236572</c:v>
                  </c:pt>
                  <c:pt idx="4">
                    <c:v>1.2401612798341999</c:v>
                  </c:pt>
                  <c:pt idx="5">
                    <c:v>1.0592450141492284</c:v>
                  </c:pt>
                  <c:pt idx="6">
                    <c:v>1.1036303729057115</c:v>
                  </c:pt>
                  <c:pt idx="7">
                    <c:v>0.9396807968666806</c:v>
                  </c:pt>
                  <c:pt idx="8">
                    <c:v>1.2116104984688778</c:v>
                  </c:pt>
                  <c:pt idx="9">
                    <c:v>1.6346253393362036</c:v>
                  </c:pt>
                  <c:pt idx="10">
                    <c:v>1.6637307474468337</c:v>
                  </c:pt>
                </c:numCache>
              </c:numRef>
            </c:minus>
            <c:spPr>
              <a:noFill/>
              <a:ln w="25400" cap="flat" cmpd="sng" algn="ctr">
                <a:solidFill>
                  <a:srgbClr val="7030A0"/>
                </a:solidFill>
                <a:round/>
              </a:ln>
              <a:effectLst/>
            </c:spPr>
          </c:errBars>
          <c:cat>
            <c:numRef>
              <c:f>'WT-BW'!$B$22:$L$22</c:f>
              <c:numCache>
                <c:formatCode>General</c:formatCode>
                <c:ptCount val="11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  <c:pt idx="6">
                  <c:v>7</c:v>
                </c:pt>
                <c:pt idx="7">
                  <c:v>7.5</c:v>
                </c:pt>
                <c:pt idx="8">
                  <c:v>8</c:v>
                </c:pt>
                <c:pt idx="9">
                  <c:v>8.5</c:v>
                </c:pt>
                <c:pt idx="10">
                  <c:v>9</c:v>
                </c:pt>
              </c:numCache>
            </c:numRef>
          </c:cat>
          <c:val>
            <c:numRef>
              <c:f>'WT-BW'!$B$29:$L$29</c:f>
              <c:numCache>
                <c:formatCode>General</c:formatCode>
                <c:ptCount val="11"/>
                <c:pt idx="0">
                  <c:v>19.580000000000002</c:v>
                </c:pt>
                <c:pt idx="1">
                  <c:v>19.3</c:v>
                </c:pt>
                <c:pt idx="2">
                  <c:v>19.64</c:v>
                </c:pt>
                <c:pt idx="3">
                  <c:v>20.12</c:v>
                </c:pt>
                <c:pt idx="4">
                  <c:v>20.16</c:v>
                </c:pt>
                <c:pt idx="5">
                  <c:v>20.420000000000002</c:v>
                </c:pt>
                <c:pt idx="6">
                  <c:v>20.96</c:v>
                </c:pt>
                <c:pt idx="7">
                  <c:v>20.759999999999998</c:v>
                </c:pt>
                <c:pt idx="8">
                  <c:v>20.559999999999995</c:v>
                </c:pt>
                <c:pt idx="9">
                  <c:v>20.58</c:v>
                </c:pt>
                <c:pt idx="10">
                  <c:v>20.34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99-4765-8382-370957C34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43008"/>
        <c:axId val="1290956320"/>
      </c:lineChart>
      <c:catAx>
        <c:axId val="12909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56320"/>
        <c:crosses val="autoZero"/>
        <c:auto val="1"/>
        <c:lblAlgn val="ctr"/>
        <c:lblOffset val="100"/>
        <c:noMultiLvlLbl val="0"/>
      </c:catAx>
      <c:valAx>
        <c:axId val="1290956320"/>
        <c:scaling>
          <c:orientation val="minMax"/>
          <c:max val="26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09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533400</xdr:colOff>
      <xdr:row>2</xdr:row>
      <xdr:rowOff>119062</xdr:rowOff>
    </xdr:from>
    <xdr:to>
      <xdr:col>24</xdr:col>
      <xdr:colOff>304800</xdr:colOff>
      <xdr:row>15</xdr:row>
      <xdr:rowOff>4762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257175</xdr:colOff>
          <xdr:row>4</xdr:row>
          <xdr:rowOff>152400</xdr:rowOff>
        </xdr:from>
        <xdr:to>
          <xdr:col>18</xdr:col>
          <xdr:colOff>133350</xdr:colOff>
          <xdr:row>16</xdr:row>
          <xdr:rowOff>228600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533400</xdr:colOff>
          <xdr:row>11</xdr:row>
          <xdr:rowOff>47625</xdr:rowOff>
        </xdr:from>
        <xdr:to>
          <xdr:col>17</xdr:col>
          <xdr:colOff>409575</xdr:colOff>
          <xdr:row>21</xdr:row>
          <xdr:rowOff>133350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314325</xdr:colOff>
          <xdr:row>9</xdr:row>
          <xdr:rowOff>180975</xdr:rowOff>
        </xdr:from>
        <xdr:to>
          <xdr:col>19</xdr:col>
          <xdr:colOff>190500</xdr:colOff>
          <xdr:row>20</xdr:row>
          <xdr:rowOff>28575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257175</xdr:colOff>
      <xdr:row>1</xdr:row>
      <xdr:rowOff>171449</xdr:rowOff>
    </xdr:from>
    <xdr:to>
      <xdr:col>22</xdr:col>
      <xdr:colOff>28575</xdr:colOff>
      <xdr:row>38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8486775" y="409574"/>
          <a:ext cx="6629400" cy="8753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一元配置分散分析</a:t>
          </a:r>
          <a:r>
            <a:rPr kumimoji="1" lang="en-US" altLang="ja-JP" sz="1100"/>
            <a:t>one-way ANOVA</a:t>
          </a:r>
        </a:p>
        <a:p>
          <a:r>
            <a:rPr kumimoji="1" lang="ja-JP" altLang="en-US" sz="1100"/>
            <a:t>平均  標準偏差  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V1=Am80/CT  181.4743  54.04912 0.0000025</a:t>
          </a:r>
        </a:p>
        <a:p>
          <a:r>
            <a:rPr kumimoji="1" lang="en-US" altLang="ja-JP" sz="1100"/>
            <a:t>V1=Am80/PBS 639.1589  64.65036          </a:t>
          </a:r>
        </a:p>
        <a:p>
          <a:r>
            <a:rPr kumimoji="1" lang="en-US" altLang="ja-JP" sz="1100"/>
            <a:t>V1=DMSO/CT  366.2998 121.18500          </a:t>
          </a:r>
        </a:p>
        <a:p>
          <a:r>
            <a:rPr kumimoji="1" lang="en-US" altLang="ja-JP" sz="1100"/>
            <a:t>V1=DMSO/PBS 650.4912 136.94741</a:t>
          </a:r>
        </a:p>
        <a:p>
          <a:endParaRPr kumimoji="1" lang="en-US" altLang="ja-JP" sz="1100"/>
        </a:p>
        <a:p>
          <a:r>
            <a:rPr kumimoji="1" lang="en-US" altLang="ja-JP" sz="1100"/>
            <a:t>Post hoc</a:t>
          </a:r>
          <a:r>
            <a:rPr kumimoji="1" lang="en-US" altLang="ja-JP" sz="1100" baseline="0"/>
            <a:t> Analysis</a:t>
          </a:r>
        </a:p>
        <a:p>
          <a:endParaRPr lang="ja-JP" altLang="ja-JP">
            <a:effectLst/>
          </a:endParaRP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 value adjustment method: bonferroni</a:t>
          </a:r>
          <a:endParaRPr kumimoji="1" lang="en-US" altLang="ja-JP" sz="1100" baseline="0"/>
        </a:p>
        <a:p>
          <a:r>
            <a:rPr kumimoji="1" lang="en-US" altLang="ja-JP" sz="1100" baseline="0"/>
            <a:t>                          Am80/CT                 Am80/PBS            DMSO/CT</a:t>
          </a:r>
        </a:p>
        <a:p>
          <a:r>
            <a:rPr kumimoji="1" lang="en-US" altLang="ja-JP" sz="1100" baseline="0"/>
            <a:t>Am80/PBS      0.0000130                          -                            -      </a:t>
          </a:r>
        </a:p>
        <a:p>
          <a:r>
            <a:rPr kumimoji="1" lang="en-US" altLang="ja-JP" sz="1100" baseline="0"/>
            <a:t>DMSO/CT       0.0623                            0.0034                      -      </a:t>
          </a:r>
        </a:p>
        <a:p>
          <a:r>
            <a:rPr kumimoji="1" lang="en-US" altLang="ja-JP" sz="1100" baseline="0"/>
            <a:t>DMSO/PBS     0.0000095                     1.0000                 0.0024 </a:t>
          </a:r>
        </a:p>
        <a:p>
          <a:endParaRPr kumimoji="1" lang="en-US" altLang="ja-JP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 value adjustment method: holm</a:t>
          </a:r>
          <a:endParaRPr kumimoji="1" lang="en-US" altLang="ja-JP" sz="1100" baseline="0"/>
        </a:p>
        <a:p>
          <a:r>
            <a:rPr kumimoji="1" lang="en-US" altLang="ja-JP" sz="1100"/>
            <a:t>Am80/CT   Am80/PBS DMSO/CT</a:t>
          </a:r>
        </a:p>
        <a:p>
          <a:r>
            <a:rPr kumimoji="1" lang="en-US" altLang="ja-JP" sz="1100"/>
            <a:t>Am80/PBS 0.0000108 -        -      </a:t>
          </a:r>
        </a:p>
        <a:p>
          <a:r>
            <a:rPr kumimoji="1" lang="en-US" altLang="ja-JP" sz="1100"/>
            <a:t>DMSO/CT  0.0208    0.0017   -      </a:t>
          </a:r>
        </a:p>
        <a:p>
          <a:r>
            <a:rPr kumimoji="1" lang="en-US" altLang="ja-JP" sz="1100"/>
            <a:t>DMSO/PBS 0.0000095 0.8610   0.0016 </a:t>
          </a:r>
        </a:p>
        <a:p>
          <a:endParaRPr kumimoji="1" lang="en-US" altLang="ja-JP" sz="1100"/>
        </a:p>
        <a:p>
          <a:r>
            <a:rPr kumimoji="1" lang="en-US" altLang="ja-JP" sz="1100"/>
            <a:t>Tukey multiple comparisons of means</a:t>
          </a:r>
        </a:p>
        <a:p>
          <a:r>
            <a:rPr kumimoji="1" lang="en-US" altLang="ja-JP" sz="1100"/>
            <a:t>diff         lwr       upr     p adj</a:t>
          </a:r>
        </a:p>
        <a:p>
          <a:r>
            <a:rPr kumimoji="1" lang="en-US" altLang="ja-JP" sz="1100"/>
            <a:t>Am80/PBS-Am80/CT   457.68460  275.517436 639.85177 0.0000118</a:t>
          </a:r>
        </a:p>
        <a:p>
          <a:r>
            <a:rPr kumimoji="1" lang="en-US" altLang="ja-JP" sz="1100"/>
            <a:t>DMSO/CT-Am80/CT    184.82542    2.658255 366.99259 0.0461444</a:t>
          </a:r>
        </a:p>
        <a:p>
          <a:r>
            <a:rPr kumimoji="1" lang="en-US" altLang="ja-JP" sz="1100"/>
            <a:t>DMSO/PBS-Am80/CT   469.01683  286.849664 651.18400 0.0000087</a:t>
          </a:r>
        </a:p>
        <a:p>
          <a:r>
            <a:rPr kumimoji="1" lang="en-US" altLang="ja-JP" sz="1100"/>
            <a:t>DMSO/CT-Am80/PBS  -272.85918 -455.026348 -90.69201 0.0028665</a:t>
          </a:r>
        </a:p>
        <a:p>
          <a:r>
            <a:rPr kumimoji="1" lang="en-US" altLang="ja-JP" sz="1100"/>
            <a:t>DMSO/PBS-Am80/PBS   11.33223 -170.834938 193.49939 0.9979115</a:t>
          </a:r>
        </a:p>
        <a:p>
          <a:r>
            <a:rPr kumimoji="1" lang="en-US" altLang="ja-JP" sz="1100"/>
            <a:t>DMSO/PBS-DMSO/CT   284.19141  102.024243 466.35858 0.0019984</a:t>
          </a:r>
        </a:p>
        <a:p>
          <a:endParaRPr kumimoji="1" lang="en-US" altLang="ja-JP" sz="1100"/>
        </a:p>
        <a:p>
          <a:r>
            <a:rPr kumimoji="1" lang="en-US" altLang="ja-JP" sz="1100"/>
            <a:t>Multiple Comparisons of Means: Dunnett Contrasts</a:t>
          </a:r>
        </a:p>
        <a:p>
          <a:r>
            <a:rPr kumimoji="1" lang="en-US" altLang="ja-JP" sz="1100"/>
            <a:t>Fit: aov(formula = V2 ~ group.factor, data = Dataset)</a:t>
          </a:r>
        </a:p>
        <a:p>
          <a:endParaRPr kumimoji="1" lang="en-US" altLang="ja-JP" sz="1100"/>
        </a:p>
        <a:p>
          <a:r>
            <a:rPr kumimoji="1" lang="en-US" altLang="ja-JP" sz="1100"/>
            <a:t>Linear Hypotheses:</a:t>
          </a:r>
        </a:p>
        <a:p>
          <a:r>
            <a:rPr kumimoji="1" lang="en-US" altLang="ja-JP" sz="1100"/>
            <a:t>                        Estimate Std. Error t value Pr(&gt;|t|)    </a:t>
          </a:r>
        </a:p>
        <a:p>
          <a:r>
            <a:rPr kumimoji="1" lang="en-US" altLang="ja-JP" sz="1100"/>
            <a:t>Am80/PBS - Am80/CT == 0   457.68      63.67   7.188   &lt;0.001 ***</a:t>
          </a:r>
        </a:p>
        <a:p>
          <a:r>
            <a:rPr kumimoji="1" lang="en-US" altLang="ja-JP" sz="1100"/>
            <a:t>DMSO/CT - Am80/CT == 0    184.83      63.67   2.903    0.027 *  </a:t>
          </a:r>
        </a:p>
        <a:p>
          <a:r>
            <a:rPr kumimoji="1" lang="en-US" altLang="ja-JP" sz="1100"/>
            <a:t>DMSO/PBS - Am80/CT == 0   469.02      63.67   7.366   &lt;0.001 ***</a:t>
          </a:r>
          <a:endParaRPr kumimoji="1" lang="ja-JP" altLang="en-US" sz="1100"/>
        </a:p>
      </xdr:txBody>
    </xdr:sp>
    <xdr:clientData/>
  </xdr:twoCellAnchor>
  <xdr:twoCellAnchor>
    <xdr:from>
      <xdr:col>2</xdr:col>
      <xdr:colOff>228600</xdr:colOff>
      <xdr:row>38</xdr:row>
      <xdr:rowOff>28575</xdr:rowOff>
    </xdr:from>
    <xdr:to>
      <xdr:col>9</xdr:col>
      <xdr:colOff>0</xdr:colOff>
      <xdr:row>50</xdr:row>
      <xdr:rowOff>152400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24</xdr:row>
      <xdr:rowOff>161925</xdr:rowOff>
    </xdr:from>
    <xdr:to>
      <xdr:col>10</xdr:col>
      <xdr:colOff>66676</xdr:colOff>
      <xdr:row>39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7</xdr:row>
      <xdr:rowOff>161925</xdr:rowOff>
    </xdr:from>
    <xdr:to>
      <xdr:col>21</xdr:col>
      <xdr:colOff>171450</xdr:colOff>
      <xdr:row>30</xdr:row>
      <xdr:rowOff>228600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9639300" y="1828800"/>
          <a:ext cx="4933950" cy="482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一元配置分散分析</a:t>
          </a:r>
          <a:r>
            <a:rPr kumimoji="1" lang="en-US" altLang="ja-JP" sz="1100"/>
            <a:t>one-way ANOVA</a:t>
          </a:r>
        </a:p>
        <a:p>
          <a:r>
            <a:rPr kumimoji="1" lang="ja-JP" altLang="en-US" sz="1100"/>
            <a:t>平均  標準偏差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V1=Am80/CT  295.9125 138.04245 0.00519</a:t>
          </a:r>
        </a:p>
        <a:p>
          <a:r>
            <a:rPr kumimoji="1" lang="en-US" altLang="ja-JP" sz="1100"/>
            <a:t>V1=DMSO/CT  266.0007  63.00561        </a:t>
          </a:r>
        </a:p>
        <a:p>
          <a:r>
            <a:rPr kumimoji="1" lang="en-US" altLang="ja-JP" sz="1100"/>
            <a:t>V1=DMSO/PBS 530.9335  99.03368</a:t>
          </a:r>
        </a:p>
        <a:p>
          <a:endParaRPr kumimoji="1" lang="en-US" altLang="ja-JP" sz="1100"/>
        </a:p>
        <a:p>
          <a:r>
            <a:rPr kumimoji="1" lang="en-US" altLang="ja-JP" sz="1100"/>
            <a:t>bonferroni</a:t>
          </a:r>
        </a:p>
        <a:p>
          <a:r>
            <a:rPr kumimoji="1" lang="en-US" altLang="ja-JP" sz="1100"/>
            <a:t>Am80/CT DMSO/CT</a:t>
          </a:r>
        </a:p>
        <a:p>
          <a:r>
            <a:rPr kumimoji="1" lang="en-US" altLang="ja-JP" sz="1100"/>
            <a:t>DMSO/CT  1.000   -      </a:t>
          </a:r>
        </a:p>
        <a:p>
          <a:r>
            <a:rPr kumimoji="1" lang="en-US" altLang="ja-JP" sz="1100"/>
            <a:t>DMSO/PBS 0.013   0.011</a:t>
          </a:r>
        </a:p>
        <a:p>
          <a:endParaRPr kumimoji="1" lang="en-US" altLang="ja-JP" sz="1100"/>
        </a:p>
        <a:p>
          <a:r>
            <a:rPr kumimoji="1" lang="en-US" altLang="ja-JP" sz="1100"/>
            <a:t>Tukey multiple comparisons of means</a:t>
          </a:r>
        </a:p>
        <a:p>
          <a:r>
            <a:rPr kumimoji="1" lang="en-US" altLang="ja-JP" sz="1100"/>
            <a:t>diff        lwr      upr     p adj</a:t>
          </a:r>
        </a:p>
        <a:p>
          <a:r>
            <a:rPr kumimoji="1" lang="en-US" altLang="ja-JP" sz="1100"/>
            <a:t>DMSO/CT-Am80/CT  -29.91174 -220.13569 160.3122 0.9082734</a:t>
          </a:r>
        </a:p>
        <a:p>
          <a:r>
            <a:rPr kumimoji="1" lang="en-US" altLang="ja-JP" sz="1100"/>
            <a:t>DMSO/PBS-Am80/CT 235.02104   56.57516 413.4669 0.0110231</a:t>
          </a:r>
        </a:p>
        <a:p>
          <a:r>
            <a:rPr kumimoji="1" lang="en-US" altLang="ja-JP" sz="1100"/>
            <a:t>DMSO/PBS-DMSO/CT 264.93277   67.24625 462.6193 0.0098689</a:t>
          </a:r>
        </a:p>
        <a:p>
          <a:endParaRPr kumimoji="1" lang="en-US" altLang="ja-JP" sz="1100"/>
        </a:p>
        <a:p>
          <a:r>
            <a:rPr kumimoji="1" lang="en-US" altLang="ja-JP" sz="1100"/>
            <a:t>Multiple Comparisons of Means: Dunnett Contrasts</a:t>
          </a:r>
        </a:p>
        <a:p>
          <a:r>
            <a:rPr kumimoji="1" lang="en-US" altLang="ja-JP" sz="1100"/>
            <a:t>Estimate Std. Error t value Pr(&gt;|t|)   </a:t>
          </a:r>
        </a:p>
        <a:p>
          <a:r>
            <a:rPr kumimoji="1" lang="en-US" altLang="ja-JP" sz="1100"/>
            <a:t>DMSO/CT - Am80/CT == 0    -29.91      71.30  -0.420  0.88577   </a:t>
          </a:r>
        </a:p>
        <a:p>
          <a:r>
            <a:rPr kumimoji="1" lang="en-US" altLang="ja-JP" sz="1100"/>
            <a:t>DMSO/PBS - Am80/CT == 0   235.02      66.89   3.514  0.00808 **</a:t>
          </a:r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A/C vs D/C</a:t>
          </a:r>
        </a:p>
        <a:p>
          <a:r>
            <a:rPr kumimoji="1" lang="en-US" altLang="ja-JP" sz="1100"/>
            <a:t>Welch</a:t>
          </a:r>
        </a:p>
        <a:p>
          <a:r>
            <a:rPr kumimoji="1" lang="ja-JP" altLang="en-US" sz="1100"/>
            <a:t>平均  標準偏差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V1=Am80/CT 295.9125 138.04246 0.699</a:t>
          </a:r>
        </a:p>
        <a:p>
          <a:r>
            <a:rPr kumimoji="1" lang="en-US" altLang="ja-JP" sz="1100"/>
            <a:t>V1=DMSO/CT 266.0007  63.00559      </a:t>
          </a:r>
        </a:p>
        <a:p>
          <a:endParaRPr kumimoji="1" lang="en-US" altLang="ja-JP" sz="1100"/>
        </a:p>
        <a:p>
          <a:r>
            <a:rPr kumimoji="1" lang="en-US" altLang="ja-JP" sz="1100"/>
            <a:t>A/C vs D/P</a:t>
          </a:r>
        </a:p>
        <a:p>
          <a:r>
            <a:rPr kumimoji="1" lang="ja-JP" altLang="en-US" sz="1100"/>
            <a:t>平均  標準偏差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V6=Am80/CT  295.9125 138.04245 0.00975</a:t>
          </a:r>
        </a:p>
        <a:p>
          <a:r>
            <a:rPr kumimoji="1" lang="en-US" altLang="ja-JP" sz="1100"/>
            <a:t>V6=DMSO/PBS 530.9335  99.03368</a:t>
          </a:r>
        </a:p>
        <a:p>
          <a:endParaRPr kumimoji="1" lang="en-US" altLang="ja-JP" sz="1100"/>
        </a:p>
        <a:p>
          <a:r>
            <a:rPr kumimoji="1" lang="en-US" altLang="ja-JP" sz="1100"/>
            <a:t>D/C vs D/P</a:t>
          </a:r>
        </a:p>
        <a:p>
          <a:r>
            <a:rPr kumimoji="1" lang="ja-JP" altLang="en-US" sz="1100"/>
            <a:t>平均 標準偏差     </a:t>
          </a:r>
          <a:r>
            <a:rPr kumimoji="1" lang="en-US" altLang="ja-JP" sz="1100"/>
            <a:t>P</a:t>
          </a:r>
          <a:r>
            <a:rPr kumimoji="1" lang="ja-JP" altLang="en-US" sz="1100"/>
            <a:t>値</a:t>
          </a:r>
        </a:p>
        <a:p>
          <a:r>
            <a:rPr kumimoji="1" lang="en-US" altLang="ja-JP" sz="1100"/>
            <a:t>V4=DMSO/CT  266.0007 63.00561 0.00199</a:t>
          </a:r>
        </a:p>
        <a:p>
          <a:r>
            <a:rPr kumimoji="1" lang="en-US" altLang="ja-JP" sz="1100"/>
            <a:t>V4=DMSO/PBS 530.9335 99.03368        </a:t>
          </a:r>
        </a:p>
        <a:p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514350</xdr:colOff>
          <xdr:row>28</xdr:row>
          <xdr:rowOff>114300</xdr:rowOff>
        </xdr:from>
        <xdr:to>
          <xdr:col>16</xdr:col>
          <xdr:colOff>314325</xdr:colOff>
          <xdr:row>40</xdr:row>
          <xdr:rowOff>190500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5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38100</xdr:rowOff>
        </xdr:from>
        <xdr:to>
          <xdr:col>12</xdr:col>
          <xdr:colOff>352425</xdr:colOff>
          <xdr:row>29</xdr:row>
          <xdr:rowOff>123825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2</xdr:row>
      <xdr:rowOff>147637</xdr:rowOff>
    </xdr:from>
    <xdr:to>
      <xdr:col>16</xdr:col>
      <xdr:colOff>276225</xdr:colOff>
      <xdr:row>15</xdr:row>
      <xdr:rowOff>33337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27</xdr:row>
      <xdr:rowOff>9526</xdr:rowOff>
    </xdr:from>
    <xdr:to>
      <xdr:col>11</xdr:col>
      <xdr:colOff>400050</xdr:colOff>
      <xdr:row>43</xdr:row>
      <xdr:rowOff>209550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219075</xdr:colOff>
          <xdr:row>27</xdr:row>
          <xdr:rowOff>57150</xdr:rowOff>
        </xdr:from>
        <xdr:to>
          <xdr:col>16</xdr:col>
          <xdr:colOff>95250</xdr:colOff>
          <xdr:row>39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8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5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AEA3-0A59-4B4E-B08F-68A551495568}">
  <dimension ref="A1:L30"/>
  <sheetViews>
    <sheetView topLeftCell="A4" workbookViewId="0">
      <selection activeCell="Q5" sqref="Q5"/>
    </sheetView>
  </sheetViews>
  <sheetFormatPr defaultRowHeight="18.75"/>
  <sheetData>
    <row r="1" spans="1:12">
      <c r="B1" t="s">
        <v>4</v>
      </c>
      <c r="C1">
        <v>4.5</v>
      </c>
      <c r="D1" t="s">
        <v>5</v>
      </c>
      <c r="E1">
        <v>5.5</v>
      </c>
      <c r="F1">
        <v>6</v>
      </c>
      <c r="G1">
        <v>6.5</v>
      </c>
      <c r="H1">
        <v>7</v>
      </c>
      <c r="I1">
        <v>7.5</v>
      </c>
      <c r="J1">
        <v>8</v>
      </c>
      <c r="K1">
        <v>8.5</v>
      </c>
      <c r="L1">
        <v>9</v>
      </c>
    </row>
    <row r="2" spans="1:12">
      <c r="A2" t="s">
        <v>0</v>
      </c>
      <c r="B2">
        <v>157.44721100000001</v>
      </c>
      <c r="C2">
        <v>170.29282499999999</v>
      </c>
      <c r="D2">
        <v>209.15621999999999</v>
      </c>
      <c r="E2">
        <v>226.22420499999998</v>
      </c>
      <c r="F2">
        <v>249.04091</v>
      </c>
      <c r="G2">
        <v>163.53256049999999</v>
      </c>
      <c r="H2">
        <v>153.463887</v>
      </c>
      <c r="I2">
        <v>139.8475</v>
      </c>
      <c r="J2">
        <v>141.2404875</v>
      </c>
      <c r="K2">
        <v>108.045</v>
      </c>
      <c r="L2">
        <v>118.08</v>
      </c>
    </row>
    <row r="3" spans="1:12">
      <c r="A3" t="s">
        <v>0</v>
      </c>
      <c r="B3">
        <v>116.300096</v>
      </c>
      <c r="C3">
        <v>127.64858699999999</v>
      </c>
      <c r="D3">
        <v>142.79222000000001</v>
      </c>
      <c r="E3">
        <v>163.43039999999999</v>
      </c>
      <c r="F3">
        <v>167.84859849999998</v>
      </c>
      <c r="G3">
        <v>149.27434399999999</v>
      </c>
      <c r="H3">
        <v>168.20182399999999</v>
      </c>
      <c r="I3">
        <v>122.9013255</v>
      </c>
      <c r="J3">
        <v>116.29203750000001</v>
      </c>
      <c r="K3">
        <v>114.1320375</v>
      </c>
      <c r="L3">
        <v>129.03040800000002</v>
      </c>
    </row>
    <row r="4" spans="1:12">
      <c r="A4" t="s">
        <v>0</v>
      </c>
      <c r="B4">
        <v>169.28892400000001</v>
      </c>
      <c r="C4">
        <v>187.07582449999998</v>
      </c>
      <c r="D4">
        <v>237.0576015</v>
      </c>
      <c r="E4">
        <v>232.57881750000001</v>
      </c>
      <c r="F4">
        <v>256.92130349999996</v>
      </c>
      <c r="G4">
        <v>238.687612</v>
      </c>
      <c r="H4">
        <v>245.23745600000001</v>
      </c>
      <c r="I4">
        <v>256.62116249999997</v>
      </c>
      <c r="J4">
        <v>251.14881249999999</v>
      </c>
      <c r="K4">
        <v>247.34980200000001</v>
      </c>
      <c r="L4">
        <v>230.46306200000001</v>
      </c>
    </row>
    <row r="5" spans="1:12">
      <c r="A5" t="s">
        <v>0</v>
      </c>
      <c r="B5">
        <v>136.14150049999998</v>
      </c>
      <c r="C5">
        <v>183.01183449999999</v>
      </c>
      <c r="D5">
        <v>217.5592</v>
      </c>
      <c r="E5">
        <v>225.19461249999998</v>
      </c>
      <c r="F5">
        <v>218.192688</v>
      </c>
      <c r="G5">
        <v>209.0911255</v>
      </c>
      <c r="H5">
        <v>202.1459625</v>
      </c>
      <c r="I5">
        <v>178.68891249999999</v>
      </c>
      <c r="J5">
        <v>208.784704</v>
      </c>
      <c r="K5">
        <v>191.59</v>
      </c>
      <c r="L5">
        <v>226.76710399999999</v>
      </c>
    </row>
    <row r="6" spans="1:12">
      <c r="A6" t="s">
        <v>0</v>
      </c>
      <c r="B6">
        <v>167.08608000000001</v>
      </c>
      <c r="C6">
        <v>192.88767999999999</v>
      </c>
      <c r="D6">
        <v>277.51441199999999</v>
      </c>
      <c r="E6">
        <v>288.72046799999998</v>
      </c>
      <c r="F6">
        <v>330.87521650000002</v>
      </c>
      <c r="G6">
        <v>292.17131899999998</v>
      </c>
      <c r="H6">
        <v>306.02519999999998</v>
      </c>
      <c r="I6">
        <v>243.11479599999998</v>
      </c>
      <c r="J6">
        <v>245.94620049999997</v>
      </c>
      <c r="K6">
        <v>226.29016050000001</v>
      </c>
      <c r="L6">
        <v>203.03107199999999</v>
      </c>
    </row>
    <row r="7" spans="1:12">
      <c r="A7" t="s">
        <v>1</v>
      </c>
      <c r="B7">
        <v>178.295436</v>
      </c>
      <c r="C7">
        <v>197.05253599999998</v>
      </c>
      <c r="D7">
        <v>220.3143815</v>
      </c>
      <c r="E7">
        <v>268.12332450000002</v>
      </c>
      <c r="F7">
        <v>320.77237500000001</v>
      </c>
      <c r="G7">
        <v>346.7605355</v>
      </c>
      <c r="H7">
        <v>438.808696</v>
      </c>
      <c r="I7">
        <v>487.38043750000003</v>
      </c>
      <c r="J7">
        <v>560.30493750000005</v>
      </c>
      <c r="K7">
        <v>617.97424999999998</v>
      </c>
      <c r="L7">
        <v>641.07918000000006</v>
      </c>
    </row>
    <row r="8" spans="1:12">
      <c r="A8" t="s">
        <v>1</v>
      </c>
      <c r="B8">
        <v>154.88462900000002</v>
      </c>
      <c r="C8">
        <v>165.553752</v>
      </c>
      <c r="D8">
        <v>224.43220100000002</v>
      </c>
      <c r="E8">
        <v>251.487247</v>
      </c>
      <c r="F8">
        <v>291.57331050000005</v>
      </c>
      <c r="G8">
        <v>315.30688650000002</v>
      </c>
      <c r="H8">
        <v>323.42694999999998</v>
      </c>
      <c r="I8">
        <v>417.93980800000003</v>
      </c>
      <c r="J8">
        <v>456.41070000000002</v>
      </c>
      <c r="K8">
        <v>542.81721600000003</v>
      </c>
      <c r="L8">
        <v>565.96249599999999</v>
      </c>
    </row>
    <row r="9" spans="1:12">
      <c r="A9" t="s">
        <v>1</v>
      </c>
      <c r="B9">
        <v>163.84718900000001</v>
      </c>
      <c r="C9">
        <v>201.12492599999999</v>
      </c>
      <c r="D9">
        <v>285.71587199999999</v>
      </c>
      <c r="E9">
        <v>313.42906500000004</v>
      </c>
      <c r="F9">
        <v>379.47511800000001</v>
      </c>
      <c r="G9">
        <v>405.9772815</v>
      </c>
      <c r="H9">
        <v>425.43705600000004</v>
      </c>
      <c r="I9">
        <v>482.15647349999995</v>
      </c>
      <c r="J9">
        <v>523.80267449999997</v>
      </c>
      <c r="K9">
        <v>563.69973149999998</v>
      </c>
      <c r="L9">
        <v>591.50187500000004</v>
      </c>
    </row>
    <row r="10" spans="1:12">
      <c r="A10" t="s">
        <v>1</v>
      </c>
      <c r="B10">
        <v>132.421875</v>
      </c>
      <c r="C10">
        <v>145.820808</v>
      </c>
      <c r="D10">
        <v>173.64057600000001</v>
      </c>
      <c r="E10">
        <v>199.20742399999997</v>
      </c>
      <c r="F10">
        <v>251.84406849999999</v>
      </c>
      <c r="G10">
        <v>283.65925499999997</v>
      </c>
      <c r="H10">
        <v>305.668048</v>
      </c>
      <c r="I10">
        <v>335.21395050000001</v>
      </c>
      <c r="J10">
        <v>408.05823599999997</v>
      </c>
      <c r="K10">
        <v>427.14475500000003</v>
      </c>
      <c r="L10">
        <v>666.89610800000003</v>
      </c>
    </row>
    <row r="11" spans="1:12">
      <c r="A11" t="s">
        <v>1</v>
      </c>
      <c r="B11">
        <v>116.09134999999999</v>
      </c>
      <c r="C11">
        <v>128.05041600000001</v>
      </c>
      <c r="D11">
        <v>163.95801599999999</v>
      </c>
      <c r="E11">
        <v>178.149888</v>
      </c>
      <c r="F11">
        <v>221.87729199999998</v>
      </c>
      <c r="G11">
        <v>269.980752</v>
      </c>
      <c r="H11">
        <v>291.36412799999999</v>
      </c>
      <c r="I11">
        <v>324.81799999999998</v>
      </c>
      <c r="J11">
        <v>482.44396549999999</v>
      </c>
      <c r="K11">
        <v>561.93051450000007</v>
      </c>
      <c r="L11">
        <v>730.3549999999999</v>
      </c>
    </row>
    <row r="12" spans="1:12">
      <c r="A12" t="s">
        <v>2</v>
      </c>
      <c r="B12">
        <v>185.040639</v>
      </c>
      <c r="C12">
        <v>232.07795000000002</v>
      </c>
      <c r="D12">
        <v>275.40205000000003</v>
      </c>
      <c r="E12">
        <v>277.64398949999998</v>
      </c>
      <c r="F12">
        <v>321.91287449999999</v>
      </c>
      <c r="G12">
        <v>348.92865899999998</v>
      </c>
      <c r="H12">
        <v>370.59662200000002</v>
      </c>
      <c r="I12">
        <v>396.01848999999999</v>
      </c>
      <c r="J12">
        <v>447.17373400000002</v>
      </c>
      <c r="K12">
        <v>446.91733800000003</v>
      </c>
      <c r="L12">
        <v>489.93166800000006</v>
      </c>
    </row>
    <row r="13" spans="1:12">
      <c r="A13" t="s">
        <v>2</v>
      </c>
      <c r="B13">
        <v>122.259456</v>
      </c>
      <c r="C13">
        <v>133.74632150000002</v>
      </c>
      <c r="D13">
        <v>191.10854700000002</v>
      </c>
      <c r="E13">
        <v>206.30915949999999</v>
      </c>
      <c r="F13">
        <v>219.19053600000001</v>
      </c>
      <c r="G13">
        <v>233.79557849999998</v>
      </c>
      <c r="H13">
        <v>271.06509600000004</v>
      </c>
      <c r="I13">
        <v>321.538048</v>
      </c>
      <c r="J13">
        <v>390.0234135</v>
      </c>
      <c r="K13">
        <v>404.36118800000003</v>
      </c>
      <c r="L13">
        <v>502.83362249999999</v>
      </c>
    </row>
    <row r="14" spans="1:12">
      <c r="A14" t="s">
        <v>2</v>
      </c>
      <c r="B14">
        <v>140.83500599999999</v>
      </c>
      <c r="C14">
        <v>151.83799999999999</v>
      </c>
      <c r="D14">
        <v>201.69324799999998</v>
      </c>
      <c r="E14">
        <v>208.56342599999999</v>
      </c>
      <c r="F14">
        <v>205.93778799999998</v>
      </c>
      <c r="G14">
        <v>212.987932</v>
      </c>
      <c r="H14">
        <v>227.444188</v>
      </c>
      <c r="I14">
        <v>268.299668</v>
      </c>
      <c r="J14">
        <v>272.84712000000002</v>
      </c>
      <c r="K14">
        <v>269.94271049999998</v>
      </c>
      <c r="L14">
        <v>309.893283</v>
      </c>
    </row>
    <row r="15" spans="1:12">
      <c r="A15" t="s">
        <v>2</v>
      </c>
      <c r="B15">
        <v>135.44576649999999</v>
      </c>
      <c r="C15">
        <v>140.711296</v>
      </c>
      <c r="D15">
        <v>185.7011195</v>
      </c>
      <c r="E15">
        <v>190.77294599999999</v>
      </c>
      <c r="F15">
        <v>176.19264000000001</v>
      </c>
      <c r="G15">
        <v>200.895296</v>
      </c>
      <c r="H15">
        <v>252.85881600000002</v>
      </c>
      <c r="I15">
        <v>237.50475399999999</v>
      </c>
      <c r="J15">
        <v>213.73685800000001</v>
      </c>
      <c r="K15">
        <v>255.32013599999999</v>
      </c>
      <c r="L15">
        <v>243.488631</v>
      </c>
    </row>
    <row r="16" spans="1:12">
      <c r="A16" t="s">
        <v>2</v>
      </c>
      <c r="B16">
        <v>167.86220900000001</v>
      </c>
      <c r="C16">
        <v>181.26220499999999</v>
      </c>
      <c r="D16">
        <v>242.144721</v>
      </c>
      <c r="E16">
        <v>241.26232949999999</v>
      </c>
      <c r="F16">
        <v>247.23929999999999</v>
      </c>
      <c r="G16">
        <v>242.07257800000002</v>
      </c>
      <c r="H16">
        <v>229.449409</v>
      </c>
      <c r="I16">
        <v>236.98057600000001</v>
      </c>
      <c r="J16">
        <v>244.78454400000001</v>
      </c>
      <c r="K16">
        <v>252.702552</v>
      </c>
      <c r="L16">
        <v>285.35154749999998</v>
      </c>
    </row>
    <row r="17" spans="1:12">
      <c r="A17" t="s">
        <v>3</v>
      </c>
      <c r="B17">
        <v>151.940448</v>
      </c>
      <c r="C17">
        <v>167.48820000000001</v>
      </c>
      <c r="D17">
        <v>236.3168115</v>
      </c>
      <c r="E17">
        <v>263.84509800000001</v>
      </c>
      <c r="F17">
        <v>303.1182</v>
      </c>
      <c r="G17">
        <v>373.87403799999998</v>
      </c>
      <c r="H17">
        <v>507.03894000000003</v>
      </c>
      <c r="I17">
        <v>555.76341450000007</v>
      </c>
      <c r="J17">
        <v>624.05496099999993</v>
      </c>
      <c r="K17">
        <v>643.77532800000006</v>
      </c>
      <c r="L17">
        <v>685.39599999999996</v>
      </c>
    </row>
    <row r="18" spans="1:12">
      <c r="A18" t="s">
        <v>3</v>
      </c>
      <c r="B18">
        <v>110.53422</v>
      </c>
      <c r="C18">
        <v>123.65374999999999</v>
      </c>
      <c r="D18">
        <v>138.07592399999999</v>
      </c>
      <c r="E18">
        <v>161.16758400000001</v>
      </c>
      <c r="F18">
        <v>207.6892</v>
      </c>
      <c r="G18">
        <v>225.818928</v>
      </c>
      <c r="H18">
        <v>269.4375</v>
      </c>
      <c r="I18">
        <v>275.92309349999999</v>
      </c>
      <c r="J18">
        <v>293.35663349999999</v>
      </c>
      <c r="K18">
        <v>374.48661249999998</v>
      </c>
      <c r="L18">
        <v>434.31159400000001</v>
      </c>
    </row>
    <row r="19" spans="1:12">
      <c r="A19" t="s">
        <v>3</v>
      </c>
      <c r="B19">
        <v>185.9788495</v>
      </c>
      <c r="C19">
        <v>212.64492600000003</v>
      </c>
      <c r="D19">
        <v>289.29419999999999</v>
      </c>
      <c r="E19">
        <v>354.10291450000005</v>
      </c>
      <c r="F19">
        <v>403.45179999999999</v>
      </c>
      <c r="G19">
        <v>474.86394999999999</v>
      </c>
      <c r="H19">
        <v>543.51270349999993</v>
      </c>
      <c r="I19">
        <v>582.015625</v>
      </c>
      <c r="J19">
        <v>580.19034149999993</v>
      </c>
      <c r="K19">
        <v>588.41563050000002</v>
      </c>
      <c r="L19">
        <v>612.34574000000009</v>
      </c>
    </row>
    <row r="20" spans="1:12">
      <c r="A20" t="s">
        <v>3</v>
      </c>
      <c r="B20">
        <v>137.67383699999999</v>
      </c>
      <c r="C20">
        <v>172.77055999999999</v>
      </c>
      <c r="D20">
        <v>229.91103699999999</v>
      </c>
      <c r="E20">
        <v>278.08</v>
      </c>
      <c r="F20">
        <v>330.19084800000002</v>
      </c>
      <c r="G20">
        <v>361.92612200000002</v>
      </c>
      <c r="H20">
        <v>442.18459949999999</v>
      </c>
      <c r="I20">
        <v>543.31299899999999</v>
      </c>
      <c r="J20">
        <v>658.32134400000007</v>
      </c>
      <c r="K20">
        <v>722.22753750000004</v>
      </c>
      <c r="L20">
        <v>732.46364999999992</v>
      </c>
    </row>
    <row r="21" spans="1:12">
      <c r="A21" t="s">
        <v>3</v>
      </c>
      <c r="B21">
        <v>158.512565</v>
      </c>
      <c r="C21">
        <v>186.5638975</v>
      </c>
      <c r="D21">
        <v>217.27095199999999</v>
      </c>
      <c r="E21">
        <v>270.43380000000002</v>
      </c>
      <c r="F21">
        <v>310.73290099999997</v>
      </c>
      <c r="G21">
        <v>363.43705600000004</v>
      </c>
      <c r="H21">
        <v>465.61061950000004</v>
      </c>
      <c r="I21">
        <v>557.8301120000001</v>
      </c>
      <c r="J21">
        <v>604.99869999999999</v>
      </c>
      <c r="K21">
        <v>671.85855000000004</v>
      </c>
      <c r="L21">
        <v>787.93881599999997</v>
      </c>
    </row>
    <row r="22" spans="1:12">
      <c r="B22">
        <v>4</v>
      </c>
      <c r="C22">
        <v>4.5</v>
      </c>
      <c r="D22">
        <v>5</v>
      </c>
      <c r="E22">
        <v>5.5</v>
      </c>
      <c r="F22">
        <v>6</v>
      </c>
      <c r="G22">
        <v>6.5</v>
      </c>
      <c r="H22">
        <v>7</v>
      </c>
      <c r="I22">
        <v>7.5</v>
      </c>
      <c r="J22">
        <v>8</v>
      </c>
      <c r="K22">
        <v>8.5</v>
      </c>
      <c r="L22">
        <v>9</v>
      </c>
    </row>
    <row r="23" spans="1:12">
      <c r="A23" t="s">
        <v>0</v>
      </c>
      <c r="B23">
        <f>AVERAGE(B2:B6)</f>
        <v>149.2527623</v>
      </c>
      <c r="C23">
        <f t="shared" ref="C23:J23" si="0">AVERAGE(C2:C6)</f>
        <v>172.18335020000001</v>
      </c>
      <c r="D23">
        <f t="shared" si="0"/>
        <v>216.8159307</v>
      </c>
      <c r="E23">
        <f t="shared" si="0"/>
        <v>227.22970059999997</v>
      </c>
      <c r="F23">
        <f t="shared" si="0"/>
        <v>244.57574329999997</v>
      </c>
      <c r="G23">
        <f t="shared" si="0"/>
        <v>210.55139219999995</v>
      </c>
      <c r="H23">
        <f t="shared" si="0"/>
        <v>215.01486589999999</v>
      </c>
      <c r="I23">
        <f t="shared" si="0"/>
        <v>188.23473929999997</v>
      </c>
      <c r="J23">
        <f t="shared" si="0"/>
        <v>192.68244840000003</v>
      </c>
      <c r="K23">
        <f t="shared" ref="K23:L23" si="1">AVERAGE(K2:K6)</f>
        <v>177.48139999999998</v>
      </c>
      <c r="L23">
        <f t="shared" si="1"/>
        <v>181.4743292</v>
      </c>
    </row>
    <row r="24" spans="1:12">
      <c r="A24" t="s">
        <v>6</v>
      </c>
      <c r="B24">
        <f>_xlfn.STDEV.S(B2:B6)</f>
        <v>22.607561719598955</v>
      </c>
      <c r="C24">
        <f t="shared" ref="C24:L24" si="2">_xlfn.STDEV.S(C2:C6)</f>
        <v>26.242286268018674</v>
      </c>
      <c r="D24">
        <f t="shared" si="2"/>
        <v>49.073323282511033</v>
      </c>
      <c r="E24">
        <f t="shared" si="2"/>
        <v>44.399411282910997</v>
      </c>
      <c r="F24">
        <f t="shared" si="2"/>
        <v>59.588316810074467</v>
      </c>
      <c r="G24">
        <f t="shared" si="2"/>
        <v>57.925035314716361</v>
      </c>
      <c r="H24">
        <f t="shared" si="2"/>
        <v>61.931168315203259</v>
      </c>
      <c r="I24">
        <f t="shared" si="2"/>
        <v>59.977967197583965</v>
      </c>
      <c r="J24">
        <f t="shared" si="2"/>
        <v>61.229886234092547</v>
      </c>
      <c r="K24">
        <f t="shared" si="2"/>
        <v>63.830824582752349</v>
      </c>
      <c r="L24">
        <f t="shared" si="2"/>
        <v>54.04912209307475</v>
      </c>
    </row>
    <row r="25" spans="1:12">
      <c r="A25" t="s">
        <v>1</v>
      </c>
      <c r="B25">
        <f>AVERAGE(B7:B11)</f>
        <v>149.10809580000003</v>
      </c>
      <c r="C25">
        <f t="shared" ref="C25:J25" si="3">AVERAGE(C7:C11)</f>
        <v>167.52048759999997</v>
      </c>
      <c r="D25">
        <f t="shared" si="3"/>
        <v>213.61220929999999</v>
      </c>
      <c r="E25">
        <f t="shared" si="3"/>
        <v>242.07938970000001</v>
      </c>
      <c r="F25">
        <f t="shared" si="3"/>
        <v>293.1084328</v>
      </c>
      <c r="G25">
        <f t="shared" si="3"/>
        <v>324.33694210000004</v>
      </c>
      <c r="H25">
        <f t="shared" si="3"/>
        <v>356.9409756</v>
      </c>
      <c r="I25">
        <f t="shared" si="3"/>
        <v>409.50173389999998</v>
      </c>
      <c r="J25">
        <f t="shared" si="3"/>
        <v>486.20410270000002</v>
      </c>
      <c r="K25">
        <f t="shared" ref="K25:L25" si="4">AVERAGE(K7:K11)</f>
        <v>542.71329339999988</v>
      </c>
      <c r="L25">
        <f t="shared" si="4"/>
        <v>639.1589318</v>
      </c>
    </row>
    <row r="26" spans="1:12">
      <c r="A26" t="s">
        <v>6</v>
      </c>
      <c r="B26">
        <f>_xlfn.STDEV.S(B7:B11)</f>
        <v>24.85480587294774</v>
      </c>
      <c r="C26">
        <f t="shared" ref="C26:L26" si="5">_xlfn.STDEV.S(C7:C11)</f>
        <v>31.757010480567295</v>
      </c>
      <c r="D26">
        <f t="shared" si="5"/>
        <v>48.539159161148788</v>
      </c>
      <c r="E26">
        <f t="shared" si="5"/>
        <v>54.273743916491391</v>
      </c>
      <c r="F26">
        <f t="shared" si="5"/>
        <v>61.244342170745611</v>
      </c>
      <c r="G26">
        <f t="shared" si="5"/>
        <v>54.448999284760951</v>
      </c>
      <c r="H26">
        <f t="shared" si="5"/>
        <v>69.725287076142322</v>
      </c>
      <c r="I26">
        <f t="shared" si="5"/>
        <v>77.628948055813581</v>
      </c>
      <c r="J26">
        <f t="shared" si="5"/>
        <v>58.977004582205439</v>
      </c>
      <c r="K26">
        <f t="shared" si="5"/>
        <v>70.409590303981091</v>
      </c>
      <c r="L26">
        <f t="shared" si="5"/>
        <v>64.650356589311301</v>
      </c>
    </row>
    <row r="27" spans="1:12">
      <c r="A27" t="s">
        <v>2</v>
      </c>
      <c r="B27">
        <f>AVERAGE(B12:B16)</f>
        <v>150.2886153</v>
      </c>
      <c r="C27">
        <f t="shared" ref="C27:H27" si="6">AVERAGE(C12:C16)</f>
        <v>167.9271545</v>
      </c>
      <c r="D27">
        <f t="shared" si="6"/>
        <v>219.20993710000002</v>
      </c>
      <c r="E27">
        <f t="shared" si="6"/>
        <v>224.91037009999999</v>
      </c>
      <c r="F27">
        <f t="shared" si="6"/>
        <v>234.09462769999999</v>
      </c>
      <c r="G27">
        <f t="shared" si="6"/>
        <v>247.73600870000001</v>
      </c>
      <c r="H27">
        <f t="shared" si="6"/>
        <v>270.28282619999999</v>
      </c>
      <c r="I27">
        <f>AVERAGE(I12:I16)</f>
        <v>292.06830719999999</v>
      </c>
      <c r="J27">
        <f>AVERAGE(J12:J16)</f>
        <v>313.7131339</v>
      </c>
      <c r="K27">
        <f>AVERAGE(K12:K16)</f>
        <v>325.8487849</v>
      </c>
      <c r="L27">
        <f>AVERAGE(L12:L16)</f>
        <v>366.29975039999994</v>
      </c>
    </row>
    <row r="28" spans="1:12">
      <c r="A28" t="s">
        <v>6</v>
      </c>
      <c r="B28">
        <f>_xlfn.STDEV.S(B12:B16)</f>
        <v>25.553126066782518</v>
      </c>
      <c r="C28">
        <f t="shared" ref="C28:L28" si="7">_xlfn.STDEV.S(C12:C16)</f>
        <v>40.190301461021612</v>
      </c>
      <c r="D28">
        <f t="shared" si="7"/>
        <v>38.415235402879176</v>
      </c>
      <c r="E28">
        <f t="shared" si="7"/>
        <v>34.7376328087445</v>
      </c>
      <c r="F28">
        <f t="shared" si="7"/>
        <v>55.3452948131197</v>
      </c>
      <c r="G28">
        <f t="shared" si="7"/>
        <v>58.880904622776129</v>
      </c>
      <c r="H28">
        <f t="shared" si="7"/>
        <v>58.884596008535084</v>
      </c>
      <c r="I28">
        <f t="shared" si="7"/>
        <v>67.547934466875191</v>
      </c>
      <c r="J28">
        <f t="shared" si="7"/>
        <v>100.06426421579376</v>
      </c>
      <c r="K28">
        <f t="shared" si="7"/>
        <v>92.563414544034671</v>
      </c>
      <c r="L28">
        <f t="shared" si="7"/>
        <v>121.1850046887407</v>
      </c>
    </row>
    <row r="29" spans="1:12">
      <c r="A29" t="s">
        <v>3</v>
      </c>
      <c r="B29">
        <f>AVERAGE(B17:B21)</f>
        <v>148.92798389999999</v>
      </c>
      <c r="C29">
        <f t="shared" ref="C29:H29" si="8">AVERAGE(C17:C21)</f>
        <v>172.62426669999999</v>
      </c>
      <c r="D29">
        <f t="shared" si="8"/>
        <v>222.17378489999996</v>
      </c>
      <c r="E29">
        <f t="shared" si="8"/>
        <v>265.52587929999999</v>
      </c>
      <c r="F29">
        <f t="shared" si="8"/>
        <v>311.0365898</v>
      </c>
      <c r="G29">
        <f t="shared" si="8"/>
        <v>359.9840188</v>
      </c>
      <c r="H29">
        <f t="shared" si="8"/>
        <v>445.5568725</v>
      </c>
      <c r="I29">
        <f>AVERAGE(I17:I21)</f>
        <v>502.9690488</v>
      </c>
      <c r="J29">
        <f>AVERAGE(J17:J21)</f>
        <v>552.18439599999999</v>
      </c>
      <c r="K29">
        <f>AVERAGE(K17:K21)</f>
        <v>600.1527317</v>
      </c>
      <c r="L29">
        <f>AVERAGE(L17:L21)</f>
        <v>650.49115999999992</v>
      </c>
    </row>
    <row r="30" spans="1:12">
      <c r="A30" t="s">
        <v>6</v>
      </c>
      <c r="B30">
        <f>_xlfn.STDEV.S(B17:B21)</f>
        <v>27.723828674000227</v>
      </c>
      <c r="C30">
        <f t="shared" ref="C30:L30" si="9">_xlfn.STDEV.S(C17:C21)</f>
        <v>32.482605215670638</v>
      </c>
      <c r="D30">
        <f t="shared" si="9"/>
        <v>54.455321992126571</v>
      </c>
      <c r="E30">
        <f t="shared" si="9"/>
        <v>68.776928581956497</v>
      </c>
      <c r="F30">
        <f t="shared" si="9"/>
        <v>70.090892393177015</v>
      </c>
      <c r="G30">
        <f t="shared" si="9"/>
        <v>88.609110770294805</v>
      </c>
      <c r="H30">
        <f t="shared" si="9"/>
        <v>105.83825845918774</v>
      </c>
      <c r="I30">
        <f t="shared" si="9"/>
        <v>127.69381606980029</v>
      </c>
      <c r="J30">
        <f t="shared" si="9"/>
        <v>147.47535741208037</v>
      </c>
      <c r="K30">
        <f t="shared" si="9"/>
        <v>135.10169354647346</v>
      </c>
      <c r="L30">
        <f t="shared" si="9"/>
        <v>136.94741046752677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6.Document" shapeId="1026" r:id="rId4">
          <objectPr defaultSize="0" r:id="rId5">
            <anchor moveWithCells="1">
              <from>
                <xdr:col>13</xdr:col>
                <xdr:colOff>257175</xdr:colOff>
                <xdr:row>4</xdr:row>
                <xdr:rowOff>152400</xdr:rowOff>
              </from>
              <to>
                <xdr:col>18</xdr:col>
                <xdr:colOff>133350</xdr:colOff>
                <xdr:row>16</xdr:row>
                <xdr:rowOff>228600</xdr:rowOff>
              </to>
            </anchor>
          </objectPr>
        </oleObject>
      </mc:Choice>
      <mc:Fallback>
        <oleObject progId="Prism6.Document" shapeId="1026" r:id="rId4"/>
      </mc:Fallback>
    </mc:AlternateContent>
    <mc:AlternateContent xmlns:mc="http://schemas.openxmlformats.org/markup-compatibility/2006">
      <mc:Choice Requires="x14">
        <oleObject progId="Prism6.Document" shapeId="1027" r:id="rId6">
          <objectPr defaultSize="0" r:id="rId7">
            <anchor moveWithCells="1">
              <from>
                <xdr:col>12</xdr:col>
                <xdr:colOff>533400</xdr:colOff>
                <xdr:row>11</xdr:row>
                <xdr:rowOff>47625</xdr:rowOff>
              </from>
              <to>
                <xdr:col>17</xdr:col>
                <xdr:colOff>409575</xdr:colOff>
                <xdr:row>21</xdr:row>
                <xdr:rowOff>133350</xdr:rowOff>
              </to>
            </anchor>
          </objectPr>
        </oleObject>
      </mc:Choice>
      <mc:Fallback>
        <oleObject progId="Prism6.Document" shapeId="1027" r:id="rId6"/>
      </mc:Fallback>
    </mc:AlternateContent>
    <mc:AlternateContent xmlns:mc="http://schemas.openxmlformats.org/markup-compatibility/2006">
      <mc:Choice Requires="x14">
        <oleObject progId="Prism6.Document" shapeId="1028" r:id="rId8">
          <objectPr defaultSize="0" r:id="rId9">
            <anchor moveWithCells="1">
              <from>
                <xdr:col>14</xdr:col>
                <xdr:colOff>314325</xdr:colOff>
                <xdr:row>9</xdr:row>
                <xdr:rowOff>180975</xdr:rowOff>
              </from>
              <to>
                <xdr:col>19</xdr:col>
                <xdr:colOff>190500</xdr:colOff>
                <xdr:row>20</xdr:row>
                <xdr:rowOff>28575</xdr:rowOff>
              </to>
            </anchor>
          </objectPr>
        </oleObject>
      </mc:Choice>
      <mc:Fallback>
        <oleObject progId="Prism6.Document" shapeId="1028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F2F9-6E7A-4A57-AB7D-F17D27161EA4}">
  <dimension ref="A1:L23"/>
  <sheetViews>
    <sheetView workbookViewId="0">
      <selection activeCell="F25" sqref="F25"/>
    </sheetView>
  </sheetViews>
  <sheetFormatPr defaultRowHeight="18.75"/>
  <sheetData>
    <row r="1" spans="1:12"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</row>
    <row r="2" spans="1:12">
      <c r="A2" t="s">
        <v>0</v>
      </c>
      <c r="B2">
        <v>149.719696</v>
      </c>
      <c r="C2">
        <v>190.005402</v>
      </c>
      <c r="D2">
        <v>229.94635000000002</v>
      </c>
      <c r="E2">
        <v>241.42597600000002</v>
      </c>
      <c r="F2">
        <v>278.65271200000001</v>
      </c>
      <c r="G2">
        <v>305.78805399999999</v>
      </c>
      <c r="H2">
        <v>380.66593949999998</v>
      </c>
      <c r="I2">
        <v>426.88800000000003</v>
      </c>
      <c r="J2">
        <v>501.29300550000005</v>
      </c>
      <c r="K2">
        <v>454.78794199999999</v>
      </c>
      <c r="L2">
        <v>547.31920049999997</v>
      </c>
    </row>
    <row r="3" spans="1:12">
      <c r="A3" t="s">
        <v>0</v>
      </c>
      <c r="B3">
        <v>140.08781500000001</v>
      </c>
      <c r="C3">
        <v>142.681038</v>
      </c>
      <c r="D3">
        <v>175.843008</v>
      </c>
      <c r="E3">
        <v>133.97826899999998</v>
      </c>
      <c r="F3">
        <v>149.43279000000001</v>
      </c>
      <c r="G3">
        <v>111.87817200000001</v>
      </c>
      <c r="H3">
        <v>122.2896525</v>
      </c>
      <c r="I3">
        <v>168.77475900000002</v>
      </c>
      <c r="J3">
        <v>173.63404800000001</v>
      </c>
      <c r="K3">
        <v>203.61110600000001</v>
      </c>
      <c r="L3">
        <v>235.815168</v>
      </c>
    </row>
    <row r="4" spans="1:12">
      <c r="A4" t="s">
        <v>0</v>
      </c>
      <c r="B4">
        <v>99.903237000000004</v>
      </c>
      <c r="C4">
        <v>109.26511000000001</v>
      </c>
      <c r="D4">
        <v>130.14302000000001</v>
      </c>
      <c r="E4">
        <v>165.174162</v>
      </c>
      <c r="F4">
        <v>148.30268000000001</v>
      </c>
      <c r="G4">
        <v>171.44575</v>
      </c>
      <c r="H4">
        <v>189.87878000000001</v>
      </c>
      <c r="I4">
        <v>210.99312</v>
      </c>
      <c r="J4">
        <v>230.48921700000002</v>
      </c>
      <c r="K4">
        <v>279.84151350000002</v>
      </c>
      <c r="L4">
        <v>291.87698399999999</v>
      </c>
    </row>
    <row r="5" spans="1:12">
      <c r="A5" t="s">
        <v>0</v>
      </c>
      <c r="B5">
        <v>196.66196549999998</v>
      </c>
      <c r="C5">
        <v>267.17225999999999</v>
      </c>
      <c r="D5">
        <v>285.13549599999999</v>
      </c>
      <c r="E5">
        <v>352.57075200000003</v>
      </c>
      <c r="F5">
        <v>309.51846399999999</v>
      </c>
      <c r="G5">
        <v>330.74755199999998</v>
      </c>
      <c r="H5">
        <v>308.3352855</v>
      </c>
      <c r="I5">
        <v>289.85746399999999</v>
      </c>
      <c r="J5">
        <v>270.17343449999998</v>
      </c>
      <c r="K5">
        <v>244.5034</v>
      </c>
      <c r="L5">
        <v>284.7312</v>
      </c>
    </row>
    <row r="6" spans="1:12">
      <c r="A6" t="s">
        <v>0</v>
      </c>
      <c r="B6">
        <v>191.1658415</v>
      </c>
      <c r="C6">
        <v>239.770622</v>
      </c>
      <c r="D6">
        <v>268.68733199999997</v>
      </c>
      <c r="E6">
        <v>302.23483199999998</v>
      </c>
      <c r="F6">
        <v>279.48110399999996</v>
      </c>
      <c r="G6">
        <v>293.14965599999999</v>
      </c>
      <c r="H6">
        <v>300.90664800000002</v>
      </c>
      <c r="I6">
        <v>238.88715299999998</v>
      </c>
      <c r="J6">
        <v>247.79850000000002</v>
      </c>
      <c r="K6">
        <v>238.63084350000003</v>
      </c>
      <c r="L6">
        <v>287.91596250000003</v>
      </c>
    </row>
    <row r="7" spans="1:12">
      <c r="A7" t="s">
        <v>0</v>
      </c>
      <c r="B7">
        <v>156.71284900000001</v>
      </c>
      <c r="C7">
        <v>209.09390200000001</v>
      </c>
      <c r="D7">
        <v>241.47020800000001</v>
      </c>
      <c r="E7">
        <v>258.26651799999996</v>
      </c>
      <c r="F7">
        <v>213.51305550000001</v>
      </c>
      <c r="G7">
        <v>187.17218750000001</v>
      </c>
      <c r="H7">
        <v>167.44218749999999</v>
      </c>
      <c r="I7">
        <v>159.73993800000002</v>
      </c>
      <c r="J7">
        <v>151.21115900000001</v>
      </c>
      <c r="K7">
        <v>139.398976</v>
      </c>
      <c r="L7">
        <v>127.81635</v>
      </c>
    </row>
    <row r="8" spans="1:12">
      <c r="A8" t="s">
        <v>2</v>
      </c>
      <c r="B8">
        <v>150.532522</v>
      </c>
      <c r="C8">
        <v>158.6690375</v>
      </c>
      <c r="D8">
        <v>160.68516249999999</v>
      </c>
      <c r="E8">
        <v>190.27759999999998</v>
      </c>
      <c r="F8">
        <v>206.4931875</v>
      </c>
      <c r="G8">
        <v>185.89500000000001</v>
      </c>
      <c r="H8">
        <v>171.842827</v>
      </c>
      <c r="I8">
        <v>170.98069750000002</v>
      </c>
      <c r="J8">
        <v>148.93631999999999</v>
      </c>
      <c r="K8">
        <v>144.94852799999998</v>
      </c>
      <c r="L8">
        <v>198.83879999999999</v>
      </c>
    </row>
    <row r="9" spans="1:12">
      <c r="A9" t="s">
        <v>2</v>
      </c>
      <c r="B9">
        <v>137.49475900000002</v>
      </c>
      <c r="C9">
        <v>147.83828399999999</v>
      </c>
      <c r="D9">
        <v>163.94598400000001</v>
      </c>
      <c r="E9">
        <v>165.5983665</v>
      </c>
      <c r="F9">
        <v>188.3260195</v>
      </c>
      <c r="G9">
        <v>179.05033599999999</v>
      </c>
      <c r="H9">
        <v>245.039514</v>
      </c>
      <c r="I9">
        <v>250.624638</v>
      </c>
      <c r="J9">
        <v>263.22290799999996</v>
      </c>
      <c r="K9">
        <v>253.49735699999999</v>
      </c>
      <c r="L9">
        <v>226.872803</v>
      </c>
    </row>
    <row r="10" spans="1:12">
      <c r="A10" t="s">
        <v>2</v>
      </c>
      <c r="B10">
        <v>167.08189049999999</v>
      </c>
      <c r="C10">
        <v>225.61972650000001</v>
      </c>
      <c r="D10">
        <v>257.37267199999997</v>
      </c>
      <c r="E10">
        <v>279.73798349999998</v>
      </c>
      <c r="F10">
        <v>304.183674</v>
      </c>
      <c r="G10">
        <v>322.25742000000002</v>
      </c>
      <c r="H10">
        <v>344.73653999999999</v>
      </c>
      <c r="I10">
        <v>340.58778400000006</v>
      </c>
      <c r="J10">
        <v>318.19319999999999</v>
      </c>
      <c r="K10">
        <v>311.22048749999999</v>
      </c>
      <c r="L10">
        <v>329.60103750000002</v>
      </c>
    </row>
    <row r="11" spans="1:12">
      <c r="A11" t="s">
        <v>2</v>
      </c>
      <c r="B11">
        <v>133.81742699999998</v>
      </c>
      <c r="C11">
        <v>191.76092499999999</v>
      </c>
      <c r="D11">
        <v>213.169174</v>
      </c>
      <c r="E11">
        <v>249.08444399999999</v>
      </c>
      <c r="F11">
        <v>286.03954799999997</v>
      </c>
      <c r="G11">
        <v>314.74864200000002</v>
      </c>
      <c r="H11">
        <v>325.34184599999998</v>
      </c>
      <c r="I11">
        <v>337.76875000000001</v>
      </c>
      <c r="J11">
        <v>339.28325000000001</v>
      </c>
      <c r="K11">
        <v>286.08577399999996</v>
      </c>
      <c r="L11">
        <v>308.69031150000001</v>
      </c>
    </row>
    <row r="12" spans="1:12">
      <c r="A12" t="s">
        <v>3</v>
      </c>
      <c r="B12">
        <v>141.766144</v>
      </c>
      <c r="C12">
        <v>276.8</v>
      </c>
      <c r="D12">
        <v>304.71865600000001</v>
      </c>
      <c r="E12">
        <v>358.39215000000002</v>
      </c>
      <c r="F12">
        <v>460.83697899999999</v>
      </c>
      <c r="G12">
        <v>476.76428799999996</v>
      </c>
      <c r="H12">
        <v>487.44879700000001</v>
      </c>
      <c r="I12">
        <v>515.13106800000003</v>
      </c>
      <c r="J12">
        <v>514.434888</v>
      </c>
      <c r="K12">
        <v>560.96090400000003</v>
      </c>
      <c r="L12">
        <v>633.07602450000002</v>
      </c>
    </row>
    <row r="13" spans="1:12">
      <c r="A13" t="s">
        <v>3</v>
      </c>
      <c r="B13">
        <v>114.48393</v>
      </c>
      <c r="C13">
        <v>133.35839999999999</v>
      </c>
      <c r="D13">
        <v>162.5714165</v>
      </c>
      <c r="E13">
        <v>183.27166199999999</v>
      </c>
      <c r="F13">
        <v>255.82561600000002</v>
      </c>
      <c r="G13">
        <v>286.49812500000002</v>
      </c>
      <c r="H13">
        <v>363.19936799999999</v>
      </c>
      <c r="I13">
        <v>394.86185</v>
      </c>
      <c r="J13">
        <v>424.81418299999996</v>
      </c>
      <c r="K13">
        <v>460.93372499999998</v>
      </c>
      <c r="L13">
        <v>509.51932000000005</v>
      </c>
    </row>
    <row r="14" spans="1:12">
      <c r="A14" t="s">
        <v>3</v>
      </c>
      <c r="B14">
        <v>102.78772000000001</v>
      </c>
      <c r="C14">
        <v>115.50195000000001</v>
      </c>
      <c r="D14">
        <v>132.31348</v>
      </c>
      <c r="E14">
        <v>153.55934999999999</v>
      </c>
      <c r="F14">
        <v>200.32792499999999</v>
      </c>
      <c r="G14">
        <v>261.00861600000002</v>
      </c>
      <c r="H14">
        <v>340.3125</v>
      </c>
      <c r="I14">
        <v>368.50264349999998</v>
      </c>
      <c r="J14">
        <v>413.40574449999997</v>
      </c>
      <c r="K14">
        <v>443.90689200000003</v>
      </c>
      <c r="L14">
        <v>513.92179999999996</v>
      </c>
    </row>
    <row r="15" spans="1:12">
      <c r="A15" t="s">
        <v>3</v>
      </c>
      <c r="B15">
        <v>88.729749999999996</v>
      </c>
      <c r="C15">
        <v>108.84150000000001</v>
      </c>
      <c r="D15">
        <v>120.660595</v>
      </c>
      <c r="E15">
        <v>159.75360000000001</v>
      </c>
      <c r="F15">
        <v>190.90218400000001</v>
      </c>
      <c r="G15">
        <v>245.7216</v>
      </c>
      <c r="H15">
        <v>278.78833850000001</v>
      </c>
      <c r="I15">
        <v>303.26835</v>
      </c>
      <c r="J15">
        <v>385.18976000000004</v>
      </c>
      <c r="K15">
        <v>409.68914849999999</v>
      </c>
      <c r="L15">
        <v>385.01444250000003</v>
      </c>
    </row>
    <row r="16" spans="1:12">
      <c r="A16" t="s">
        <v>3</v>
      </c>
      <c r="B16">
        <v>215.54352</v>
      </c>
      <c r="C16">
        <v>226.070064</v>
      </c>
      <c r="D16">
        <v>270.82182399999999</v>
      </c>
      <c r="E16">
        <v>345.10653450000001</v>
      </c>
      <c r="F16">
        <v>374.255</v>
      </c>
      <c r="G16">
        <v>392.38165800000002</v>
      </c>
      <c r="H16">
        <v>401.74565200000001</v>
      </c>
      <c r="I16">
        <v>430.15075199999995</v>
      </c>
      <c r="J16">
        <v>463.52326649999998</v>
      </c>
      <c r="K16">
        <v>522.4196925</v>
      </c>
      <c r="L16">
        <v>613.13597750000008</v>
      </c>
    </row>
    <row r="17" spans="1:12">
      <c r="A17" t="s">
        <v>0</v>
      </c>
      <c r="B17">
        <f>AVERAGE(B2:B7)</f>
        <v>155.70856733333332</v>
      </c>
      <c r="C17">
        <f t="shared" ref="C17:L17" si="0">AVERAGE(C2:C7)</f>
        <v>192.99805566666669</v>
      </c>
      <c r="D17">
        <f t="shared" si="0"/>
        <v>221.87090233333331</v>
      </c>
      <c r="E17">
        <f t="shared" si="0"/>
        <v>242.27508483333335</v>
      </c>
      <c r="F17">
        <f t="shared" si="0"/>
        <v>229.81680091666666</v>
      </c>
      <c r="G17">
        <f t="shared" si="0"/>
        <v>233.36356191666667</v>
      </c>
      <c r="H17">
        <f t="shared" si="0"/>
        <v>244.91974883333339</v>
      </c>
      <c r="I17">
        <f t="shared" si="0"/>
        <v>249.19007233333332</v>
      </c>
      <c r="J17">
        <f t="shared" si="0"/>
        <v>262.43322733333338</v>
      </c>
      <c r="K17">
        <f t="shared" si="0"/>
        <v>260.1289635</v>
      </c>
      <c r="L17">
        <f t="shared" si="0"/>
        <v>295.91247749999997</v>
      </c>
    </row>
    <row r="18" spans="1:12">
      <c r="B18">
        <f>_xlfn.STDEV.S(B2:B7)</f>
        <v>35.57953645373351</v>
      </c>
      <c r="C18">
        <f t="shared" ref="C18:L18" si="1">_xlfn.STDEV.S(C2:C7)</f>
        <v>59.161687352421858</v>
      </c>
      <c r="D18">
        <f t="shared" si="1"/>
        <v>58.610756675363511</v>
      </c>
      <c r="E18">
        <f t="shared" si="1"/>
        <v>82.084718453505118</v>
      </c>
      <c r="F18">
        <f t="shared" si="1"/>
        <v>70.108198585929841</v>
      </c>
      <c r="G18">
        <f t="shared" si="1"/>
        <v>88.350986514100242</v>
      </c>
      <c r="H18">
        <f t="shared" si="1"/>
        <v>99.652910380505986</v>
      </c>
      <c r="I18">
        <f t="shared" si="1"/>
        <v>99.26076436043769</v>
      </c>
      <c r="J18">
        <f t="shared" si="1"/>
        <v>125.3827278437723</v>
      </c>
      <c r="K18">
        <f t="shared" si="1"/>
        <v>106.54297539916305</v>
      </c>
      <c r="L18">
        <f t="shared" si="1"/>
        <v>138.04244672252054</v>
      </c>
    </row>
    <row r="19" spans="1:12">
      <c r="A19" t="s">
        <v>2</v>
      </c>
      <c r="B19">
        <f>AVERAGE(B8:B11)</f>
        <v>147.23164962499999</v>
      </c>
      <c r="C19">
        <f t="shared" ref="C19:L19" si="2">AVERAGE(C8:C11)</f>
        <v>180.97199325000003</v>
      </c>
      <c r="D19">
        <f t="shared" si="2"/>
        <v>198.79324812499999</v>
      </c>
      <c r="E19">
        <f t="shared" si="2"/>
        <v>221.17459849999997</v>
      </c>
      <c r="F19">
        <f t="shared" si="2"/>
        <v>246.26060724999999</v>
      </c>
      <c r="G19">
        <f t="shared" si="2"/>
        <v>250.48784950000001</v>
      </c>
      <c r="H19">
        <f t="shared" si="2"/>
        <v>271.74018174999998</v>
      </c>
      <c r="I19">
        <f t="shared" si="2"/>
        <v>274.99046737500004</v>
      </c>
      <c r="J19">
        <f t="shared" si="2"/>
        <v>267.40891949999997</v>
      </c>
      <c r="K19">
        <f t="shared" si="2"/>
        <v>248.938036625</v>
      </c>
      <c r="L19">
        <f t="shared" si="2"/>
        <v>266.00073800000001</v>
      </c>
    </row>
    <row r="20" spans="1:12">
      <c r="B20">
        <f>_xlfn.STDEV.S(B8:B11)</f>
        <v>15.051868421205315</v>
      </c>
      <c r="C20">
        <f t="shared" ref="C20:L20" si="3">_xlfn.STDEV.S(C8:C11)</f>
        <v>35.14297301272466</v>
      </c>
      <c r="D20">
        <f t="shared" si="3"/>
        <v>45.843117088938072</v>
      </c>
      <c r="E20">
        <f t="shared" si="3"/>
        <v>52.446708247893426</v>
      </c>
      <c r="F20">
        <f t="shared" si="3"/>
        <v>57.373948560451687</v>
      </c>
      <c r="G20">
        <f t="shared" si="3"/>
        <v>78.646625789190409</v>
      </c>
      <c r="H20">
        <f t="shared" si="3"/>
        <v>79.359968650185564</v>
      </c>
      <c r="I20">
        <f t="shared" si="3"/>
        <v>80.944109500170768</v>
      </c>
      <c r="J20">
        <f t="shared" si="3"/>
        <v>85.241308560445873</v>
      </c>
      <c r="K20">
        <f t="shared" si="3"/>
        <v>73.243118870033484</v>
      </c>
      <c r="L20">
        <f t="shared" si="3"/>
        <v>63.005605558504854</v>
      </c>
    </row>
    <row r="21" spans="1:12">
      <c r="A21" t="s">
        <v>3</v>
      </c>
      <c r="B21">
        <f>AVERAGE(B12:B16)</f>
        <v>132.66221279999999</v>
      </c>
      <c r="C21">
        <f t="shared" ref="C21:K21" si="4">AVERAGE(C12:C16)</f>
        <v>172.11438279999999</v>
      </c>
      <c r="D21">
        <f t="shared" si="4"/>
        <v>198.21719430000002</v>
      </c>
      <c r="E21">
        <f t="shared" si="4"/>
        <v>240.01665929999999</v>
      </c>
      <c r="F21">
        <f t="shared" si="4"/>
        <v>296.42954079999998</v>
      </c>
      <c r="G21">
        <f t="shared" si="4"/>
        <v>332.47485740000002</v>
      </c>
      <c r="H21">
        <f t="shared" si="4"/>
        <v>374.2989311</v>
      </c>
      <c r="I21">
        <f t="shared" si="4"/>
        <v>402.38293269999997</v>
      </c>
      <c r="J21">
        <f t="shared" si="4"/>
        <v>440.27356840000004</v>
      </c>
      <c r="K21">
        <f t="shared" si="4"/>
        <v>479.58207240000002</v>
      </c>
      <c r="L21">
        <f>AVERAGE(L12:L16)</f>
        <v>530.9335129000001</v>
      </c>
    </row>
    <row r="22" spans="1:12">
      <c r="B22">
        <f>_xlfn.STDEV.S(B12:B16)</f>
        <v>50.262285114592913</v>
      </c>
      <c r="C22">
        <f t="shared" ref="C22:L22" si="5">_xlfn.STDEV.S(C12:C16)</f>
        <v>75.13445519608824</v>
      </c>
      <c r="D22">
        <f t="shared" si="5"/>
        <v>84.028180877897213</v>
      </c>
      <c r="E22">
        <f t="shared" si="5"/>
        <v>102.7054750319884</v>
      </c>
      <c r="F22">
        <f t="shared" si="5"/>
        <v>117.37422005801258</v>
      </c>
      <c r="G22">
        <f t="shared" si="5"/>
        <v>98.938965772509448</v>
      </c>
      <c r="H22">
        <f t="shared" si="5"/>
        <v>77.389866487931499</v>
      </c>
      <c r="I22">
        <f t="shared" si="5"/>
        <v>78.280481263459777</v>
      </c>
      <c r="J22">
        <f t="shared" si="5"/>
        <v>50.088791891173699</v>
      </c>
      <c r="K22">
        <f t="shared" si="5"/>
        <v>61.161826528129176</v>
      </c>
      <c r="L22">
        <f t="shared" si="5"/>
        <v>99.03367987965126</v>
      </c>
    </row>
    <row r="23" spans="1:12">
      <c r="B23">
        <v>4</v>
      </c>
      <c r="C23">
        <v>4.5</v>
      </c>
      <c r="D23">
        <v>5</v>
      </c>
      <c r="E23">
        <v>5.5</v>
      </c>
      <c r="F23">
        <v>6</v>
      </c>
      <c r="G23">
        <v>6.5</v>
      </c>
      <c r="H23">
        <v>7</v>
      </c>
      <c r="I23">
        <v>7.5</v>
      </c>
      <c r="J23">
        <v>8</v>
      </c>
      <c r="K23">
        <v>8.5</v>
      </c>
      <c r="L23">
        <v>9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6.Document" shapeId="2049" r:id="rId4">
          <objectPr defaultSize="0" r:id="rId5">
            <anchor moveWithCells="1">
              <from>
                <xdr:col>11</xdr:col>
                <xdr:colOff>514350</xdr:colOff>
                <xdr:row>28</xdr:row>
                <xdr:rowOff>114300</xdr:rowOff>
              </from>
              <to>
                <xdr:col>16</xdr:col>
                <xdr:colOff>314325</xdr:colOff>
                <xdr:row>40</xdr:row>
                <xdr:rowOff>190500</xdr:rowOff>
              </to>
            </anchor>
          </objectPr>
        </oleObject>
      </mc:Choice>
      <mc:Fallback>
        <oleObject progId="Prism6.Document" shapeId="2049" r:id="rId4"/>
      </mc:Fallback>
    </mc:AlternateContent>
    <mc:AlternateContent xmlns:mc="http://schemas.openxmlformats.org/markup-compatibility/2006">
      <mc:Choice Requires="x14">
        <oleObject progId="Prism6.Document" shapeId="2050" r:id="rId6">
          <objectPr defaultSize="0" r:id="rId7">
            <anchor moveWithCells="1">
              <from>
                <xdr:col>7</xdr:col>
                <xdr:colOff>552450</xdr:colOff>
                <xdr:row>19</xdr:row>
                <xdr:rowOff>38100</xdr:rowOff>
              </from>
              <to>
                <xdr:col>12</xdr:col>
                <xdr:colOff>352425</xdr:colOff>
                <xdr:row>29</xdr:row>
                <xdr:rowOff>123825</xdr:rowOff>
              </to>
            </anchor>
          </objectPr>
        </oleObject>
      </mc:Choice>
      <mc:Fallback>
        <oleObject progId="Prism6.Document" shapeId="2050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664E-CC58-49E0-B0B0-102A1B0CBB87}">
  <dimension ref="A1:L16"/>
  <sheetViews>
    <sheetView workbookViewId="0">
      <selection activeCell="F19" sqref="F19"/>
    </sheetView>
  </sheetViews>
  <sheetFormatPr defaultRowHeight="18.75"/>
  <sheetData>
    <row r="1" spans="1:12"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  <c r="J1">
        <v>4</v>
      </c>
      <c r="K1">
        <v>4.5</v>
      </c>
      <c r="L1">
        <v>5</v>
      </c>
    </row>
    <row r="2" spans="1:12">
      <c r="A2" t="s">
        <v>7</v>
      </c>
      <c r="B2">
        <v>18.5</v>
      </c>
      <c r="C2">
        <v>18.7</v>
      </c>
      <c r="D2">
        <v>19</v>
      </c>
      <c r="E2">
        <v>19</v>
      </c>
      <c r="F2">
        <v>19.899999999999999</v>
      </c>
      <c r="G2">
        <v>19.2</v>
      </c>
      <c r="H2">
        <v>20.2</v>
      </c>
      <c r="I2">
        <v>19.399999999999999</v>
      </c>
      <c r="J2">
        <v>19.399999999999999</v>
      </c>
      <c r="K2">
        <v>18.8</v>
      </c>
      <c r="L2">
        <v>19.100000000000001</v>
      </c>
    </row>
    <row r="3" spans="1:12">
      <c r="A3" t="s">
        <v>7</v>
      </c>
      <c r="B3">
        <v>18.5</v>
      </c>
      <c r="C3">
        <v>17.5</v>
      </c>
      <c r="D3">
        <v>17.399999999999999</v>
      </c>
      <c r="E3">
        <v>17.5</v>
      </c>
      <c r="F3">
        <v>18.399999999999999</v>
      </c>
      <c r="G3">
        <v>18.7</v>
      </c>
      <c r="H3">
        <v>19</v>
      </c>
      <c r="I3">
        <v>20</v>
      </c>
      <c r="J3">
        <v>19.3</v>
      </c>
      <c r="K3">
        <v>18.399999999999999</v>
      </c>
      <c r="L3">
        <v>19</v>
      </c>
    </row>
    <row r="4" spans="1:12">
      <c r="A4" t="s">
        <v>7</v>
      </c>
      <c r="B4">
        <v>20.3</v>
      </c>
      <c r="C4">
        <v>19.600000000000001</v>
      </c>
      <c r="D4">
        <v>20.2</v>
      </c>
      <c r="E4">
        <v>20</v>
      </c>
      <c r="F4">
        <v>20.5</v>
      </c>
      <c r="G4">
        <v>20.9</v>
      </c>
      <c r="H4">
        <v>21.2</v>
      </c>
      <c r="I4">
        <v>21.7</v>
      </c>
      <c r="J4">
        <v>20.8</v>
      </c>
      <c r="K4">
        <v>20.5</v>
      </c>
      <c r="L4">
        <v>20.5</v>
      </c>
    </row>
    <row r="5" spans="1:12">
      <c r="A5" t="s">
        <v>7</v>
      </c>
      <c r="B5">
        <v>21.7</v>
      </c>
      <c r="C5">
        <v>20.3</v>
      </c>
      <c r="D5">
        <v>20.8</v>
      </c>
      <c r="E5">
        <v>20.7</v>
      </c>
      <c r="F5">
        <v>21.2</v>
      </c>
      <c r="G5">
        <v>20.9</v>
      </c>
      <c r="H5">
        <v>21.7</v>
      </c>
      <c r="I5">
        <v>20.6</v>
      </c>
      <c r="J5">
        <v>21.9</v>
      </c>
      <c r="K5">
        <v>21.3</v>
      </c>
      <c r="L5">
        <v>21.5</v>
      </c>
    </row>
    <row r="6" spans="1:12">
      <c r="A6" t="s">
        <v>7</v>
      </c>
      <c r="B6">
        <v>18.899999999999999</v>
      </c>
      <c r="C6">
        <v>19</v>
      </c>
      <c r="D6">
        <v>18.899999999999999</v>
      </c>
      <c r="E6">
        <v>18.8</v>
      </c>
      <c r="F6">
        <v>19.5</v>
      </c>
      <c r="G6">
        <v>18.5</v>
      </c>
      <c r="H6">
        <v>18.7</v>
      </c>
      <c r="I6">
        <v>18.3</v>
      </c>
      <c r="J6">
        <v>19.600000000000001</v>
      </c>
      <c r="K6">
        <v>19.7</v>
      </c>
      <c r="L6">
        <v>19.8</v>
      </c>
    </row>
    <row r="7" spans="1:12">
      <c r="A7" t="s">
        <v>7</v>
      </c>
      <c r="B7">
        <v>22.1</v>
      </c>
      <c r="C7">
        <v>21</v>
      </c>
      <c r="D7">
        <v>20.3</v>
      </c>
      <c r="E7">
        <v>19.899999999999999</v>
      </c>
      <c r="F7">
        <v>20.2</v>
      </c>
      <c r="G7">
        <v>19.899999999999999</v>
      </c>
      <c r="H7">
        <v>19.7</v>
      </c>
      <c r="I7">
        <v>20.2</v>
      </c>
      <c r="J7">
        <v>20.2</v>
      </c>
      <c r="K7">
        <v>20.100000000000001</v>
      </c>
      <c r="L7">
        <v>19.8</v>
      </c>
    </row>
    <row r="8" spans="1:12">
      <c r="A8" t="s">
        <v>8</v>
      </c>
      <c r="B8">
        <v>18.2</v>
      </c>
      <c r="C8">
        <v>18.399999999999999</v>
      </c>
      <c r="D8">
        <v>17.8</v>
      </c>
      <c r="E8">
        <v>18.600000000000001</v>
      </c>
      <c r="F8">
        <v>18.7</v>
      </c>
      <c r="G8">
        <v>18.7</v>
      </c>
      <c r="H8">
        <v>19.600000000000001</v>
      </c>
      <c r="I8">
        <v>19.399999999999999</v>
      </c>
      <c r="J8">
        <v>19.899999999999999</v>
      </c>
      <c r="K8">
        <v>19.399999999999999</v>
      </c>
      <c r="L8">
        <v>20</v>
      </c>
    </row>
    <row r="9" spans="1:12">
      <c r="A9" t="s">
        <v>8</v>
      </c>
      <c r="B9">
        <v>20.2</v>
      </c>
      <c r="C9">
        <v>19.899999999999999</v>
      </c>
      <c r="D9">
        <v>19.899999999999999</v>
      </c>
      <c r="E9">
        <v>19.5</v>
      </c>
      <c r="F9">
        <v>20.399999999999999</v>
      </c>
      <c r="G9">
        <v>19.8</v>
      </c>
      <c r="H9">
        <v>20.7</v>
      </c>
      <c r="I9">
        <v>19.600000000000001</v>
      </c>
      <c r="J9">
        <v>20.3</v>
      </c>
      <c r="K9">
        <v>19.5</v>
      </c>
      <c r="L9">
        <v>20.2</v>
      </c>
    </row>
    <row r="10" spans="1:12">
      <c r="A10" t="s">
        <v>8</v>
      </c>
      <c r="B10">
        <v>21.3</v>
      </c>
      <c r="C10">
        <v>21.9</v>
      </c>
      <c r="D10">
        <v>21.6</v>
      </c>
      <c r="E10">
        <v>21.6</v>
      </c>
      <c r="F10">
        <v>22.6</v>
      </c>
      <c r="G10">
        <v>22.1</v>
      </c>
      <c r="H10">
        <v>22.3</v>
      </c>
      <c r="I10">
        <v>22.8</v>
      </c>
      <c r="J10">
        <v>23.3</v>
      </c>
      <c r="K10">
        <v>23.3</v>
      </c>
      <c r="L10">
        <v>22.8</v>
      </c>
    </row>
    <row r="11" spans="1:12">
      <c r="A11" t="s">
        <v>8</v>
      </c>
      <c r="B11">
        <v>19.100000000000001</v>
      </c>
      <c r="C11">
        <v>19.100000000000001</v>
      </c>
      <c r="D11">
        <v>18.2</v>
      </c>
      <c r="E11">
        <v>19.3</v>
      </c>
      <c r="F11">
        <v>19.7</v>
      </c>
      <c r="G11">
        <v>19.600000000000001</v>
      </c>
      <c r="H11">
        <v>20</v>
      </c>
      <c r="I11">
        <v>19.2</v>
      </c>
      <c r="J11">
        <v>20.100000000000001</v>
      </c>
      <c r="K11">
        <v>18.899999999999999</v>
      </c>
      <c r="L11">
        <v>19.100000000000001</v>
      </c>
    </row>
    <row r="12" spans="1:12">
      <c r="A12" t="s">
        <v>9</v>
      </c>
      <c r="B12">
        <v>19.5</v>
      </c>
      <c r="C12">
        <v>19.7</v>
      </c>
      <c r="D12">
        <v>19.8</v>
      </c>
      <c r="E12">
        <v>19.3</v>
      </c>
      <c r="F12">
        <v>19.399999999999999</v>
      </c>
      <c r="G12">
        <v>19.100000000000001</v>
      </c>
      <c r="H12">
        <v>19.3</v>
      </c>
      <c r="I12">
        <v>20</v>
      </c>
      <c r="J12">
        <v>19.399999999999999</v>
      </c>
      <c r="K12">
        <v>19.5</v>
      </c>
      <c r="L12">
        <v>19.7</v>
      </c>
    </row>
    <row r="13" spans="1:12">
      <c r="A13" t="s">
        <v>9</v>
      </c>
      <c r="B13">
        <v>19.899999999999999</v>
      </c>
      <c r="C13">
        <v>20.2</v>
      </c>
      <c r="D13">
        <v>20</v>
      </c>
      <c r="E13">
        <v>20.3</v>
      </c>
      <c r="F13">
        <v>20.7</v>
      </c>
      <c r="G13">
        <v>20.9</v>
      </c>
      <c r="H13">
        <v>21.1</v>
      </c>
      <c r="I13">
        <v>21.6</v>
      </c>
      <c r="J13">
        <v>21.1</v>
      </c>
      <c r="K13">
        <v>20.9</v>
      </c>
      <c r="L13">
        <v>20.5</v>
      </c>
    </row>
    <row r="14" spans="1:12">
      <c r="A14" t="s">
        <v>9</v>
      </c>
      <c r="B14">
        <v>19</v>
      </c>
      <c r="C14">
        <v>18.899999999999999</v>
      </c>
      <c r="D14">
        <v>18.899999999999999</v>
      </c>
      <c r="E14">
        <v>19.600000000000001</v>
      </c>
      <c r="F14">
        <v>20.399999999999999</v>
      </c>
      <c r="G14">
        <v>20.100000000000001</v>
      </c>
      <c r="H14">
        <v>20.6</v>
      </c>
      <c r="I14">
        <v>20.7</v>
      </c>
      <c r="J14">
        <v>20.6</v>
      </c>
      <c r="K14">
        <v>20.6</v>
      </c>
      <c r="L14">
        <v>20.8</v>
      </c>
    </row>
    <row r="15" spans="1:12">
      <c r="A15" t="s">
        <v>9</v>
      </c>
      <c r="B15">
        <v>19.899999999999999</v>
      </c>
      <c r="C15">
        <v>20.3</v>
      </c>
      <c r="D15">
        <v>19.8</v>
      </c>
      <c r="E15">
        <v>20</v>
      </c>
      <c r="F15">
        <v>20.3</v>
      </c>
      <c r="G15">
        <v>21.2</v>
      </c>
      <c r="H15">
        <v>20.399999999999999</v>
      </c>
      <c r="I15">
        <v>20.100000000000001</v>
      </c>
      <c r="J15">
        <v>21.8</v>
      </c>
      <c r="K15">
        <v>20.399999999999999</v>
      </c>
      <c r="L15">
        <v>20.3</v>
      </c>
    </row>
    <row r="16" spans="1:12">
      <c r="A16" t="s">
        <v>9</v>
      </c>
      <c r="B16">
        <v>20.2</v>
      </c>
      <c r="C16">
        <v>20.6</v>
      </c>
      <c r="D16">
        <v>20.3</v>
      </c>
      <c r="E16">
        <v>19.899999999999999</v>
      </c>
      <c r="F16">
        <v>19.899999999999999</v>
      </c>
      <c r="G16">
        <v>20.6</v>
      </c>
      <c r="H16">
        <v>20.399999999999999</v>
      </c>
      <c r="I16">
        <v>20.7</v>
      </c>
      <c r="J16">
        <v>20.8</v>
      </c>
      <c r="K16">
        <v>20.8</v>
      </c>
      <c r="L16">
        <v>20.6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6F37-75C6-4DBD-BAFB-D325D7DB8E51}">
  <dimension ref="A1:L30"/>
  <sheetViews>
    <sheetView tabSelected="1" topLeftCell="A13" workbookViewId="0">
      <selection activeCell="M25" sqref="M25"/>
    </sheetView>
  </sheetViews>
  <sheetFormatPr defaultRowHeight="18.75"/>
  <sheetData>
    <row r="1" spans="1:12">
      <c r="B1" t="s">
        <v>4</v>
      </c>
      <c r="C1">
        <v>4.5</v>
      </c>
      <c r="D1" t="s">
        <v>5</v>
      </c>
      <c r="E1">
        <v>5.5</v>
      </c>
      <c r="F1">
        <v>6</v>
      </c>
      <c r="G1">
        <v>6.5</v>
      </c>
      <c r="H1">
        <v>7</v>
      </c>
      <c r="I1">
        <v>7.5</v>
      </c>
      <c r="J1">
        <v>8</v>
      </c>
      <c r="K1">
        <v>8.5</v>
      </c>
      <c r="L1">
        <v>9</v>
      </c>
    </row>
    <row r="2" spans="1:12">
      <c r="A2" t="s">
        <v>0</v>
      </c>
      <c r="B2">
        <v>18.399999999999999</v>
      </c>
      <c r="C2">
        <v>18.399999999999999</v>
      </c>
      <c r="D2">
        <v>18.399999999999999</v>
      </c>
      <c r="E2">
        <v>18.100000000000001</v>
      </c>
      <c r="F2">
        <v>19</v>
      </c>
      <c r="G2">
        <v>18.399999999999999</v>
      </c>
      <c r="H2">
        <v>19.899999999999999</v>
      </c>
      <c r="I2">
        <v>18.899999999999999</v>
      </c>
      <c r="J2">
        <v>18.600000000000001</v>
      </c>
      <c r="K2">
        <v>19</v>
      </c>
      <c r="L2">
        <v>19.2</v>
      </c>
    </row>
    <row r="3" spans="1:12">
      <c r="A3" t="s">
        <v>0</v>
      </c>
      <c r="B3">
        <v>20</v>
      </c>
      <c r="C3">
        <v>19.5</v>
      </c>
      <c r="D3">
        <v>19.7</v>
      </c>
      <c r="E3">
        <v>19.2</v>
      </c>
      <c r="F3">
        <v>19.5</v>
      </c>
      <c r="G3">
        <v>19.2</v>
      </c>
      <c r="H3">
        <v>20.399999999999999</v>
      </c>
      <c r="I3">
        <v>19.8</v>
      </c>
      <c r="J3">
        <v>20.2</v>
      </c>
      <c r="K3">
        <v>20.6</v>
      </c>
      <c r="L3">
        <v>20.5</v>
      </c>
    </row>
    <row r="4" spans="1:12">
      <c r="A4" t="s">
        <v>0</v>
      </c>
      <c r="B4">
        <v>19.600000000000001</v>
      </c>
      <c r="C4">
        <v>19.5</v>
      </c>
      <c r="D4">
        <v>19.600000000000001</v>
      </c>
      <c r="E4">
        <v>20</v>
      </c>
      <c r="F4">
        <v>21</v>
      </c>
      <c r="G4">
        <v>20.6</v>
      </c>
      <c r="H4">
        <v>21.2</v>
      </c>
      <c r="I4">
        <v>20.5</v>
      </c>
      <c r="J4">
        <v>20.5</v>
      </c>
      <c r="K4">
        <v>20.399999999999999</v>
      </c>
      <c r="L4">
        <v>20.3</v>
      </c>
    </row>
    <row r="5" spans="1:12">
      <c r="A5" t="s">
        <v>0</v>
      </c>
      <c r="B5">
        <v>18.2</v>
      </c>
      <c r="C5">
        <v>18.600000000000001</v>
      </c>
      <c r="D5">
        <v>18.8</v>
      </c>
      <c r="E5">
        <v>18.7</v>
      </c>
      <c r="F5">
        <v>19.3</v>
      </c>
      <c r="G5">
        <v>19.100000000000001</v>
      </c>
      <c r="H5">
        <v>19.600000000000001</v>
      </c>
      <c r="I5">
        <v>19.100000000000001</v>
      </c>
      <c r="J5">
        <v>18.899999999999999</v>
      </c>
      <c r="K5">
        <v>19</v>
      </c>
      <c r="L5">
        <v>18.399999999999999</v>
      </c>
    </row>
    <row r="6" spans="1:12">
      <c r="A6" t="s">
        <v>0</v>
      </c>
      <c r="B6">
        <v>17.399999999999999</v>
      </c>
      <c r="C6">
        <v>17</v>
      </c>
      <c r="D6">
        <v>17.399999999999999</v>
      </c>
      <c r="E6">
        <v>17.2</v>
      </c>
      <c r="F6">
        <v>18.2</v>
      </c>
      <c r="G6">
        <v>17.8</v>
      </c>
      <c r="H6">
        <v>18.8</v>
      </c>
      <c r="I6">
        <v>19</v>
      </c>
      <c r="J6">
        <v>18.7</v>
      </c>
      <c r="K6">
        <v>17</v>
      </c>
      <c r="L6">
        <v>16.3</v>
      </c>
    </row>
    <row r="7" spans="1:12">
      <c r="A7" t="s">
        <v>1</v>
      </c>
      <c r="B7">
        <v>20.9</v>
      </c>
      <c r="C7">
        <v>19.8</v>
      </c>
      <c r="D7">
        <v>19.100000000000001</v>
      </c>
      <c r="E7">
        <v>20.9</v>
      </c>
      <c r="F7">
        <v>20.6</v>
      </c>
      <c r="G7">
        <v>20.6</v>
      </c>
      <c r="H7">
        <v>21.7</v>
      </c>
      <c r="I7">
        <v>22</v>
      </c>
      <c r="J7">
        <v>21.9</v>
      </c>
      <c r="K7">
        <v>21.5</v>
      </c>
      <c r="L7">
        <v>21.7</v>
      </c>
    </row>
    <row r="8" spans="1:12">
      <c r="A8" t="s">
        <v>1</v>
      </c>
      <c r="B8">
        <v>18.2</v>
      </c>
      <c r="C8">
        <v>17.8</v>
      </c>
      <c r="D8">
        <v>18</v>
      </c>
      <c r="E8">
        <v>18.8</v>
      </c>
      <c r="F8">
        <v>17.899999999999999</v>
      </c>
      <c r="G8">
        <v>19</v>
      </c>
      <c r="H8">
        <v>19.8</v>
      </c>
      <c r="I8">
        <v>19.600000000000001</v>
      </c>
      <c r="J8">
        <v>19.7</v>
      </c>
      <c r="K8">
        <v>19.5</v>
      </c>
      <c r="L8">
        <v>19.899999999999999</v>
      </c>
    </row>
    <row r="9" spans="1:12">
      <c r="A9" t="s">
        <v>1</v>
      </c>
      <c r="B9">
        <v>19.399999999999999</v>
      </c>
      <c r="C9">
        <v>18.899999999999999</v>
      </c>
      <c r="D9">
        <v>18.899999999999999</v>
      </c>
      <c r="E9">
        <v>19.5</v>
      </c>
      <c r="F9">
        <v>19.7</v>
      </c>
      <c r="G9">
        <v>19.899999999999999</v>
      </c>
      <c r="H9">
        <v>20</v>
      </c>
      <c r="I9">
        <v>20.100000000000001</v>
      </c>
      <c r="J9">
        <v>20.2</v>
      </c>
      <c r="K9">
        <v>20</v>
      </c>
      <c r="L9">
        <v>20.2</v>
      </c>
    </row>
    <row r="10" spans="1:12">
      <c r="A10" t="s">
        <v>1</v>
      </c>
      <c r="B10">
        <v>19.2</v>
      </c>
      <c r="C10">
        <v>18.399999999999999</v>
      </c>
      <c r="D10">
        <v>18.7</v>
      </c>
      <c r="E10">
        <v>19.600000000000001</v>
      </c>
      <c r="F10">
        <v>19.7</v>
      </c>
      <c r="G10">
        <v>20.100000000000001</v>
      </c>
      <c r="H10">
        <v>21.4</v>
      </c>
      <c r="I10">
        <v>21.2</v>
      </c>
      <c r="J10">
        <v>21.6</v>
      </c>
      <c r="K10">
        <v>21.1</v>
      </c>
      <c r="L10">
        <v>20.6</v>
      </c>
    </row>
    <row r="11" spans="1:12">
      <c r="A11" t="s">
        <v>1</v>
      </c>
      <c r="B11">
        <v>18.600000000000001</v>
      </c>
      <c r="C11">
        <v>18.399999999999999</v>
      </c>
      <c r="D11">
        <v>18.600000000000001</v>
      </c>
      <c r="E11">
        <v>19.2</v>
      </c>
      <c r="F11">
        <v>19.5</v>
      </c>
      <c r="G11">
        <v>20</v>
      </c>
      <c r="H11">
        <v>20</v>
      </c>
      <c r="I11">
        <v>20.2</v>
      </c>
      <c r="J11">
        <v>20.100000000000001</v>
      </c>
      <c r="K11">
        <v>19.899999999999999</v>
      </c>
      <c r="L11">
        <v>20.9</v>
      </c>
    </row>
    <row r="12" spans="1:12">
      <c r="A12" t="s">
        <v>2</v>
      </c>
      <c r="B12">
        <v>19.7</v>
      </c>
      <c r="C12">
        <v>19.2</v>
      </c>
      <c r="D12">
        <v>19.399999999999999</v>
      </c>
      <c r="E12">
        <v>20.100000000000001</v>
      </c>
      <c r="F12">
        <v>20.2</v>
      </c>
      <c r="G12">
        <v>19.8</v>
      </c>
      <c r="H12">
        <v>20.6</v>
      </c>
      <c r="I12">
        <v>20.100000000000001</v>
      </c>
      <c r="J12">
        <v>20.399999999999999</v>
      </c>
      <c r="K12">
        <v>20.3</v>
      </c>
      <c r="L12">
        <v>20.5</v>
      </c>
    </row>
    <row r="13" spans="1:12">
      <c r="A13" t="s">
        <v>2</v>
      </c>
      <c r="B13">
        <v>17.600000000000001</v>
      </c>
      <c r="C13">
        <v>17.600000000000001</v>
      </c>
      <c r="D13">
        <v>18</v>
      </c>
      <c r="E13">
        <v>19</v>
      </c>
      <c r="F13">
        <v>18.8</v>
      </c>
      <c r="G13">
        <v>19.2</v>
      </c>
      <c r="H13">
        <v>20.6</v>
      </c>
      <c r="I13">
        <v>19.8</v>
      </c>
      <c r="J13">
        <v>19.899999999999999</v>
      </c>
      <c r="K13">
        <v>19.7</v>
      </c>
      <c r="L13">
        <v>18.899999999999999</v>
      </c>
    </row>
    <row r="14" spans="1:12">
      <c r="A14" t="s">
        <v>2</v>
      </c>
      <c r="B14">
        <v>19.7</v>
      </c>
      <c r="C14">
        <v>19.7</v>
      </c>
      <c r="D14">
        <v>20.3</v>
      </c>
      <c r="E14">
        <v>20.5</v>
      </c>
      <c r="F14">
        <v>20.9</v>
      </c>
      <c r="G14">
        <v>21.3</v>
      </c>
      <c r="H14">
        <v>21.6</v>
      </c>
      <c r="I14">
        <v>21.2</v>
      </c>
      <c r="J14">
        <v>21.6</v>
      </c>
      <c r="K14">
        <v>21.3</v>
      </c>
      <c r="L14">
        <v>20.2</v>
      </c>
    </row>
    <row r="15" spans="1:12">
      <c r="A15" t="s">
        <v>2</v>
      </c>
      <c r="B15">
        <v>17.7</v>
      </c>
      <c r="C15">
        <v>18.399999999999999</v>
      </c>
      <c r="D15">
        <v>18.8</v>
      </c>
      <c r="E15">
        <v>18.7</v>
      </c>
      <c r="F15">
        <v>19.8</v>
      </c>
      <c r="G15">
        <v>19.2</v>
      </c>
      <c r="H15">
        <v>19.899999999999999</v>
      </c>
      <c r="I15">
        <v>19.3</v>
      </c>
      <c r="J15">
        <v>19.600000000000001</v>
      </c>
      <c r="K15">
        <v>19.5</v>
      </c>
      <c r="L15">
        <v>19.3</v>
      </c>
    </row>
    <row r="16" spans="1:12">
      <c r="A16" t="s">
        <v>2</v>
      </c>
      <c r="B16">
        <v>20.2</v>
      </c>
      <c r="C16">
        <v>20.7</v>
      </c>
      <c r="D16">
        <v>20.6</v>
      </c>
      <c r="E16">
        <v>21</v>
      </c>
      <c r="F16">
        <v>21.8</v>
      </c>
      <c r="G16">
        <v>21.9</v>
      </c>
      <c r="H16">
        <v>22.1</v>
      </c>
      <c r="I16">
        <v>21.9</v>
      </c>
      <c r="J16">
        <v>21.9</v>
      </c>
      <c r="K16">
        <v>21.8</v>
      </c>
      <c r="L16">
        <v>21.8</v>
      </c>
    </row>
    <row r="17" spans="1:12">
      <c r="A17" t="s">
        <v>3</v>
      </c>
      <c r="B17">
        <v>18.399999999999999</v>
      </c>
      <c r="C17">
        <v>17.5</v>
      </c>
      <c r="D17">
        <v>17.8</v>
      </c>
      <c r="E17">
        <v>18.2</v>
      </c>
      <c r="F17">
        <v>18.399999999999999</v>
      </c>
      <c r="G17">
        <v>18.8</v>
      </c>
      <c r="H17">
        <v>19.3</v>
      </c>
      <c r="I17">
        <v>19.5</v>
      </c>
      <c r="J17">
        <v>18.899999999999999</v>
      </c>
      <c r="K17">
        <v>18.600000000000001</v>
      </c>
      <c r="L17">
        <v>18.600000000000001</v>
      </c>
    </row>
    <row r="18" spans="1:12">
      <c r="A18" t="s">
        <v>3</v>
      </c>
      <c r="B18">
        <v>19.399999999999999</v>
      </c>
      <c r="C18">
        <v>19.100000000000001</v>
      </c>
      <c r="D18">
        <v>19.7</v>
      </c>
      <c r="E18">
        <v>20.100000000000001</v>
      </c>
      <c r="F18">
        <v>19.899999999999999</v>
      </c>
      <c r="G18">
        <v>20.8</v>
      </c>
      <c r="H18">
        <v>21.5</v>
      </c>
      <c r="I18">
        <v>21.2</v>
      </c>
      <c r="J18">
        <v>20.9</v>
      </c>
      <c r="K18">
        <v>21.4</v>
      </c>
      <c r="L18">
        <v>20.7</v>
      </c>
    </row>
    <row r="19" spans="1:12">
      <c r="A19" t="s">
        <v>3</v>
      </c>
      <c r="B19">
        <v>20</v>
      </c>
      <c r="C19">
        <v>19.2</v>
      </c>
      <c r="D19">
        <v>19.3</v>
      </c>
      <c r="E19">
        <v>20</v>
      </c>
      <c r="F19">
        <v>19.899999999999999</v>
      </c>
      <c r="G19">
        <v>20.2</v>
      </c>
      <c r="H19">
        <v>20.8</v>
      </c>
      <c r="I19">
        <v>20.8</v>
      </c>
      <c r="J19">
        <v>19.899999999999999</v>
      </c>
      <c r="K19">
        <v>19.5</v>
      </c>
      <c r="L19">
        <v>19</v>
      </c>
    </row>
    <row r="20" spans="1:12">
      <c r="A20" t="s">
        <v>3</v>
      </c>
      <c r="B20">
        <v>20.100000000000001</v>
      </c>
      <c r="C20">
        <v>20.2</v>
      </c>
      <c r="D20">
        <v>20.2</v>
      </c>
      <c r="E20">
        <v>20.6</v>
      </c>
      <c r="F20">
        <v>20.9</v>
      </c>
      <c r="G20">
        <v>20.6</v>
      </c>
      <c r="H20">
        <v>20.9</v>
      </c>
      <c r="I20">
        <v>20.3</v>
      </c>
      <c r="J20">
        <v>21</v>
      </c>
      <c r="K20">
        <v>20.6</v>
      </c>
      <c r="L20">
        <v>20.6</v>
      </c>
    </row>
    <row r="21" spans="1:12">
      <c r="A21" t="s">
        <v>3</v>
      </c>
      <c r="B21">
        <v>20</v>
      </c>
      <c r="C21">
        <v>20.5</v>
      </c>
      <c r="D21">
        <v>21.2</v>
      </c>
      <c r="E21">
        <v>21.7</v>
      </c>
      <c r="F21">
        <v>21.7</v>
      </c>
      <c r="G21">
        <v>21.7</v>
      </c>
      <c r="H21">
        <v>22.3</v>
      </c>
      <c r="I21">
        <v>22</v>
      </c>
      <c r="J21">
        <v>22.1</v>
      </c>
      <c r="K21">
        <v>22.8</v>
      </c>
      <c r="L21">
        <v>22.8</v>
      </c>
    </row>
    <row r="22" spans="1:12">
      <c r="B22">
        <v>4</v>
      </c>
      <c r="C22">
        <v>4.5</v>
      </c>
      <c r="D22">
        <v>5</v>
      </c>
      <c r="E22">
        <v>5.5</v>
      </c>
      <c r="F22">
        <v>6</v>
      </c>
      <c r="G22">
        <v>6.5</v>
      </c>
      <c r="H22">
        <v>7</v>
      </c>
      <c r="I22">
        <v>7.5</v>
      </c>
      <c r="J22">
        <v>8</v>
      </c>
      <c r="K22">
        <v>8.5</v>
      </c>
      <c r="L22">
        <v>9</v>
      </c>
    </row>
    <row r="23" spans="1:12">
      <c r="A23" t="s">
        <v>0</v>
      </c>
      <c r="B23">
        <f>AVERAGE(B2:B6)</f>
        <v>18.72</v>
      </c>
      <c r="C23">
        <f t="shared" ref="C23:L23" si="0">AVERAGE(C2:C6)</f>
        <v>18.600000000000001</v>
      </c>
      <c r="D23">
        <f t="shared" si="0"/>
        <v>18.78</v>
      </c>
      <c r="E23">
        <f t="shared" si="0"/>
        <v>18.64</v>
      </c>
      <c r="F23">
        <f t="shared" si="0"/>
        <v>19.399999999999999</v>
      </c>
      <c r="G23">
        <f t="shared" si="0"/>
        <v>19.02</v>
      </c>
      <c r="H23">
        <f t="shared" si="0"/>
        <v>19.979999999999997</v>
      </c>
      <c r="I23">
        <f t="shared" si="0"/>
        <v>19.46</v>
      </c>
      <c r="J23">
        <f t="shared" si="0"/>
        <v>19.38</v>
      </c>
      <c r="K23">
        <f t="shared" si="0"/>
        <v>19.2</v>
      </c>
      <c r="L23">
        <f t="shared" si="0"/>
        <v>18.940000000000001</v>
      </c>
    </row>
    <row r="24" spans="1:12">
      <c r="A24" t="s">
        <v>6</v>
      </c>
      <c r="B24">
        <f>_xlfn.STDEV.S(B2:B6)</f>
        <v>1.0639548862616317</v>
      </c>
      <c r="C24">
        <f t="shared" ref="C24:L24" si="1">_xlfn.STDEV.S(C2:C6)</f>
        <v>1.0271319292087069</v>
      </c>
      <c r="D24">
        <f t="shared" si="1"/>
        <v>0.94445751624940832</v>
      </c>
      <c r="E24">
        <f t="shared" si="1"/>
        <v>1.0644247272588137</v>
      </c>
      <c r="F24">
        <f t="shared" si="1"/>
        <v>1.0222524150130439</v>
      </c>
      <c r="G24">
        <f t="shared" si="1"/>
        <v>1.0497618777608573</v>
      </c>
      <c r="H24">
        <f t="shared" si="1"/>
        <v>0.8955445270895237</v>
      </c>
      <c r="I24">
        <f t="shared" si="1"/>
        <v>0.68044103344816009</v>
      </c>
      <c r="J24">
        <f t="shared" si="1"/>
        <v>0.89833178725902807</v>
      </c>
      <c r="K24">
        <f t="shared" si="1"/>
        <v>1.4422205101855958</v>
      </c>
      <c r="L24">
        <f t="shared" si="1"/>
        <v>1.7038192392387168</v>
      </c>
    </row>
    <row r="25" spans="1:12">
      <c r="A25" t="s">
        <v>1</v>
      </c>
      <c r="B25">
        <f>AVERAGE(B7:B11)</f>
        <v>19.259999999999998</v>
      </c>
      <c r="C25">
        <f t="shared" ref="C25:L25" si="2">AVERAGE(C7:C11)</f>
        <v>18.660000000000004</v>
      </c>
      <c r="D25">
        <f t="shared" si="2"/>
        <v>18.660000000000004</v>
      </c>
      <c r="E25">
        <f t="shared" si="2"/>
        <v>19.600000000000001</v>
      </c>
      <c r="F25">
        <f t="shared" si="2"/>
        <v>19.48</v>
      </c>
      <c r="G25">
        <f t="shared" si="2"/>
        <v>19.919999999999998</v>
      </c>
      <c r="H25">
        <f t="shared" si="2"/>
        <v>20.580000000000002</v>
      </c>
      <c r="I25">
        <f t="shared" si="2"/>
        <v>20.62</v>
      </c>
      <c r="J25">
        <f t="shared" si="2"/>
        <v>20.7</v>
      </c>
      <c r="K25">
        <f t="shared" si="2"/>
        <v>20.399999999999999</v>
      </c>
      <c r="L25">
        <f t="shared" si="2"/>
        <v>20.660000000000004</v>
      </c>
    </row>
    <row r="26" spans="1:12">
      <c r="A26" t="s">
        <v>6</v>
      </c>
      <c r="B26">
        <f>_xlfn.STDEV.S(B7:B11)</f>
        <v>1.0334408546211045</v>
      </c>
      <c r="C26">
        <f t="shared" ref="C26:L26" si="3">_xlfn.STDEV.S(C7:C11)</f>
        <v>0.74699397587932415</v>
      </c>
      <c r="D26">
        <f t="shared" si="3"/>
        <v>0.41593268686170853</v>
      </c>
      <c r="E26">
        <f t="shared" si="3"/>
        <v>0.7905694150420941</v>
      </c>
      <c r="F26">
        <f t="shared" si="3"/>
        <v>0.98081598681913917</v>
      </c>
      <c r="G26">
        <f t="shared" si="3"/>
        <v>0.58051701094800023</v>
      </c>
      <c r="H26">
        <f t="shared" si="3"/>
        <v>0.8955445270895237</v>
      </c>
      <c r="I26">
        <f t="shared" si="3"/>
        <v>0.96540147089177297</v>
      </c>
      <c r="J26">
        <f t="shared" si="3"/>
        <v>0.9823441352194251</v>
      </c>
      <c r="K26">
        <f t="shared" si="3"/>
        <v>0.85440037453175366</v>
      </c>
      <c r="L26">
        <f t="shared" si="3"/>
        <v>0.69498201415576222</v>
      </c>
    </row>
    <row r="27" spans="1:12">
      <c r="A27" t="s">
        <v>2</v>
      </c>
      <c r="B27">
        <f>AVERAGE(B12:B16)</f>
        <v>18.98</v>
      </c>
      <c r="C27">
        <f>AVERAGE(C12:C16)</f>
        <v>19.12</v>
      </c>
      <c r="D27">
        <f t="shared" ref="D27:H27" si="4">AVERAGE(D12:D16)</f>
        <v>19.419999999999998</v>
      </c>
      <c r="E27">
        <f t="shared" si="4"/>
        <v>19.86</v>
      </c>
      <c r="F27">
        <f t="shared" si="4"/>
        <v>20.3</v>
      </c>
      <c r="G27">
        <f t="shared" si="4"/>
        <v>20.28</v>
      </c>
      <c r="H27">
        <f t="shared" si="4"/>
        <v>20.96</v>
      </c>
      <c r="I27">
        <f>AVERAGE(I12:I16)</f>
        <v>20.46</v>
      </c>
      <c r="J27">
        <f>AVERAGE(J12:J16)</f>
        <v>20.68</v>
      </c>
      <c r="K27">
        <f>AVERAGE(K12:K16)</f>
        <v>20.52</v>
      </c>
      <c r="L27">
        <f>AVERAGE(L12:L16)</f>
        <v>20.139999999999997</v>
      </c>
    </row>
    <row r="28" spans="1:12">
      <c r="A28" t="s">
        <v>6</v>
      </c>
      <c r="B28">
        <f>_xlfn.STDEV.S(B12:B16)</f>
        <v>1.2316655390161724</v>
      </c>
      <c r="C28">
        <f t="shared" ref="C28:L28" si="5">_xlfn.STDEV.S(C12:C16)</f>
        <v>1.1903780911962378</v>
      </c>
      <c r="D28">
        <f t="shared" si="5"/>
        <v>1.068644000591404</v>
      </c>
      <c r="E28">
        <f t="shared" si="5"/>
        <v>0.98132563402776785</v>
      </c>
      <c r="F28">
        <f t="shared" si="5"/>
        <v>1.1313708498984758</v>
      </c>
      <c r="G28">
        <f t="shared" si="5"/>
        <v>1.2477980605851251</v>
      </c>
      <c r="H28">
        <f t="shared" si="5"/>
        <v>0.87920418561333147</v>
      </c>
      <c r="I28">
        <f t="shared" si="5"/>
        <v>1.0644247272588128</v>
      </c>
      <c r="J28">
        <f t="shared" si="5"/>
        <v>1.0232301793829186</v>
      </c>
      <c r="K28">
        <f t="shared" si="5"/>
        <v>1.0009995004993764</v>
      </c>
      <c r="L28">
        <f t="shared" si="5"/>
        <v>1.1326958991715301</v>
      </c>
    </row>
    <row r="29" spans="1:12">
      <c r="A29" t="s">
        <v>3</v>
      </c>
      <c r="B29">
        <f>AVERAGE(B17:B21)</f>
        <v>19.580000000000002</v>
      </c>
      <c r="C29">
        <f t="shared" ref="C29:H29" si="6">AVERAGE(C17:C21)</f>
        <v>19.3</v>
      </c>
      <c r="D29">
        <f t="shared" si="6"/>
        <v>19.64</v>
      </c>
      <c r="E29">
        <f t="shared" si="6"/>
        <v>20.12</v>
      </c>
      <c r="F29">
        <f t="shared" si="6"/>
        <v>20.16</v>
      </c>
      <c r="G29">
        <f t="shared" si="6"/>
        <v>20.420000000000002</v>
      </c>
      <c r="H29">
        <f t="shared" si="6"/>
        <v>20.96</v>
      </c>
      <c r="I29">
        <f>AVERAGE(I17:I21)</f>
        <v>20.759999999999998</v>
      </c>
      <c r="J29">
        <f>AVERAGE(J17:J21)</f>
        <v>20.559999999999995</v>
      </c>
      <c r="K29">
        <f>AVERAGE(K17:K21)</f>
        <v>20.58</v>
      </c>
      <c r="L29">
        <f>AVERAGE(L17:L21)</f>
        <v>20.34</v>
      </c>
    </row>
    <row r="30" spans="1:12">
      <c r="A30" t="s">
        <v>6</v>
      </c>
      <c r="B30">
        <f>_xlfn.STDEV.S(B17:B21)</f>
        <v>0.71554175279993359</v>
      </c>
      <c r="C30">
        <f t="shared" ref="C30:L30" si="7">_xlfn.STDEV.S(C17:C21)</f>
        <v>1.1768602295939818</v>
      </c>
      <c r="D30">
        <f t="shared" si="7"/>
        <v>1.2501999840025588</v>
      </c>
      <c r="E30">
        <f t="shared" si="7"/>
        <v>1.2676750372236572</v>
      </c>
      <c r="F30">
        <f t="shared" si="7"/>
        <v>1.2401612798341999</v>
      </c>
      <c r="G30">
        <f t="shared" si="7"/>
        <v>1.0592450141492284</v>
      </c>
      <c r="H30">
        <f t="shared" si="7"/>
        <v>1.1036303729057115</v>
      </c>
      <c r="I30">
        <f t="shared" si="7"/>
        <v>0.9396807968666806</v>
      </c>
      <c r="J30">
        <f t="shared" si="7"/>
        <v>1.2116104984688778</v>
      </c>
      <c r="K30">
        <f t="shared" si="7"/>
        <v>1.6346253393362036</v>
      </c>
      <c r="L30">
        <f t="shared" si="7"/>
        <v>1.6637307474468337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rism6.Document" shapeId="3073" r:id="rId4">
          <objectPr defaultSize="0" r:id="rId5">
            <anchor moveWithCells="1">
              <from>
                <xdr:col>11</xdr:col>
                <xdr:colOff>219075</xdr:colOff>
                <xdr:row>27</xdr:row>
                <xdr:rowOff>57150</xdr:rowOff>
              </from>
              <to>
                <xdr:col>16</xdr:col>
                <xdr:colOff>95250</xdr:colOff>
                <xdr:row>39</xdr:row>
                <xdr:rowOff>133350</xdr:rowOff>
              </to>
            </anchor>
          </objectPr>
        </oleObject>
      </mc:Choice>
      <mc:Fallback>
        <oleObject progId="Prism6.Document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WT</vt:lpstr>
      <vt:lpstr>KO (2)</vt:lpstr>
      <vt:lpstr>KO-BW</vt:lpstr>
      <vt:lpstr>WT-BW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伊藤喜介</dc:creator>
  <cp:lastModifiedBy>喜介 伊藤</cp:lastModifiedBy>
  <dcterms:created xsi:type="dcterms:W3CDTF">2015-06-05T18:19:34Z</dcterms:created>
  <dcterms:modified xsi:type="dcterms:W3CDTF">2026-05-29T12:36:37Z</dcterms:modified>
</cp:coreProperties>
</file>